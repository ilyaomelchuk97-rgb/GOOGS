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8.xml" ContentType="application/vnd.openxmlformats-officedocument.spreadsheetml.worksheet+xml"/>
  <Override PartName="/xl/namedSheetViews/namedSheetView1.xml" ContentType="application/vnd.ms-excel.namedsheetview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namedSheetViews/namedSheetView3.xml" ContentType="application/vnd.ms-excel.namedsheetview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namedSheetViews/namedSheetView2.xml" ContentType="application/vnd.ms-excel.namedsheetview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8" showHorizontalScroll="1" showVerticalScroll="1"/>
  </bookViews>
  <sheets>
    <sheet name="Городинский" sheetId="1" state="visible" r:id="rId2"/>
    <sheet name="Горох" sheetId="2" state="visible" r:id="rId3"/>
    <sheet name="Градусова" sheetId="3" state="visible" r:id="rId4"/>
    <sheet name="Ксеневич" sheetId="4" state="visible" r:id="rId5"/>
    <sheet name="Кошель" sheetId="5" state="visible" r:id="rId6"/>
    <sheet name="Новик" sheetId="6" state="visible" r:id="rId7"/>
    <sheet name="Савич" sheetId="7" state="visible" r:id="rId8"/>
    <sheet name="Котик" sheetId="8" state="visible" r:id="rId9"/>
    <sheet name="Фурс" sheetId="9" state="visible" r:id="rId10"/>
    <sheet name="Омельчук" sheetId="10" state="visible" r:id="rId11"/>
    <sheet name="Отчёт" sheetId="11" state="visible" r:id="rId12"/>
  </sheets>
  <definedNames>
    <definedName name="solver_ver" localSheetId="7" hidden="1">3</definedName>
    <definedName name="solver_est" localSheetId="7" hidden="1">1</definedName>
    <definedName name="solver_nwt" localSheetId="7" hidden="1">1</definedName>
    <definedName name="solver_typ" localSheetId="7" hidden="1">1</definedName>
    <definedName name="solver_val" localSheetId="7" hidden="1">0</definedName>
    <definedName name="solver_neg" localSheetId="7" hidden="1">1</definedName>
    <definedName name="solver_eng" localSheetId="7" hidden="1">2</definedName>
    <definedName name="solver_pre" localSheetId="7" hidden="1">1</definedName>
    <definedName name="solver_scl" localSheetId="7" hidden="1">2</definedName>
    <definedName name="solver_tim" localSheetId="7" hidden="1">2147483647</definedName>
    <definedName name="solver_itr" localSheetId="7" hidden="1">2147483647</definedName>
    <definedName name="solver_ver" localSheetId="8" hidden="1">3</definedName>
    <definedName name="solver_est" localSheetId="8" hidden="1">1</definedName>
    <definedName name="solver_nwt" localSheetId="8" hidden="1">1</definedName>
    <definedName name="solver_typ" localSheetId="8" hidden="1">1</definedName>
    <definedName name="solver_val" localSheetId="8" hidden="1">0</definedName>
    <definedName name="solver_neg" localSheetId="8" hidden="1">1</definedName>
    <definedName name="solver_eng" localSheetId="8" hidden="1">2</definedName>
    <definedName name="solver_pre" localSheetId="8" hidden="1">1</definedName>
    <definedName name="solver_scl" localSheetId="8" hidden="1">2</definedName>
    <definedName name="solver_tim" localSheetId="8" hidden="1">2147483647</definedName>
    <definedName name="solver_itr" localSheetId="8" hidden="1">2147483647</definedName>
    <definedName name="solver_ver" localSheetId="9" hidden="1">3</definedName>
    <definedName name="solver_est" localSheetId="9" hidden="1">1</definedName>
    <definedName name="solver_nwt" localSheetId="9" hidden="1">1</definedName>
    <definedName name="solver_typ" localSheetId="9" hidden="1">1</definedName>
    <definedName name="solver_val" localSheetId="9" hidden="1">0</definedName>
    <definedName name="solver_neg" localSheetId="9" hidden="1">1</definedName>
    <definedName name="solver_eng" localSheetId="9" hidden="1">2</definedName>
    <definedName name="solver_pre" localSheetId="9" hidden="1">1</definedName>
    <definedName name="solver_scl" localSheetId="9" hidden="1">2</definedName>
    <definedName name="solver_tim" localSheetId="9" hidden="1">2147483647</definedName>
    <definedName name="solver_itr" localSheetId="9" hidden="1">2147483647</definedName>
  </definedName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<sst xmlns="http://schemas.openxmlformats.org/spreadsheetml/2006/main" count="162" uniqueCount="162">
  <si>
    <t xml:space="preserve">Выполняемые работы</t>
  </si>
  <si>
    <t xml:space="preserve">Кол-во выполненной работы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</si>
  <si>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</si>
  <si>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</si>
  <si>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</si>
  <si>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</si>
  <si>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</si>
  <si>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</si>
  <si>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</si>
  <si>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</si>
  <si>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Всё</t>
  </si>
  <si>
    <t xml:space="preserve">Создание нового объекта в АРМ "Наружные сети", МПК "Панорама", внесение графического изображения газопровода и смежных коммуникаций, настройка связей, внесение электронного варианта ИТД</t>
  </si>
  <si>
    <t>м.</t>
  </si>
  <si>
    <t>53.29</t>
  </si>
  <si>
    <t>55.03</t>
  </si>
  <si>
    <t xml:space="preserve">Внесение в 7эг, МПК "Панорама" актов на ликвидацию</t>
  </si>
  <si>
    <t>шт.</t>
  </si>
  <si>
    <t xml:space="preserve">Сканирование нарядов, размещение в электронный архив</t>
  </si>
  <si>
    <t xml:space="preserve">Внесение нарядов в программные комплексы</t>
  </si>
  <si>
    <t xml:space="preserve">Исправление замечаний в 7эг</t>
  </si>
  <si>
    <t xml:space="preserve">Исправление замечаний в МПК Панорама</t>
  </si>
  <si>
    <t xml:space="preserve">Инвентаризация паспортов</t>
  </si>
  <si>
    <t xml:space="preserve">Арх. № (пунктов)</t>
  </si>
  <si>
    <t xml:space="preserve">Сканирование документации (листов)</t>
  </si>
  <si>
    <t xml:space="preserve">Прикрепление файлов итд в 7 ЭГ</t>
  </si>
  <si>
    <t xml:space="preserve">Связь графика КПО с картой КПО</t>
  </si>
  <si>
    <t xml:space="preserve">Отрисовка фитингов в МПК Панорама</t>
  </si>
  <si>
    <t xml:space="preserve">Нанесение подвалов в МПК "Панорама"</t>
  </si>
  <si>
    <t xml:space="preserve">Исправление ошибок по целостности газопроводов</t>
  </si>
  <si>
    <t xml:space="preserve">Заполнение карточки на кран на газопроводе-вводе</t>
  </si>
  <si>
    <t xml:space="preserve">Демонтаж газопроводов</t>
  </si>
  <si>
    <t xml:space="preserve">Инвентаризация запорных устройств</t>
  </si>
  <si>
    <t xml:space="preserve">Иные работы</t>
  </si>
  <si>
    <t xml:space="preserve">Внесение вновь принятого объекта
в ПК УРГ</t>
  </si>
  <si>
    <t xml:space="preserve">Оформление эксплуатационного паспорта в ПК УРГ</t>
  </si>
  <si>
    <t xml:space="preserve">Инвентаризация объектов ПК УРГ</t>
  </si>
  <si>
    <t xml:space="preserve">Прикрепление файлов в ПК УРГ</t>
  </si>
  <si>
    <t xml:space="preserve">Сканирование документации в ПК УРГ</t>
  </si>
  <si>
    <t xml:space="preserve">Ликвидация неактуальной документации и фотоматериалов в ПК УРГ</t>
  </si>
  <si>
    <t xml:space="preserve">Создание нового объекта в АРМ "Наружные сети", МПК "Панорама", внесение графического изображения газопровода и смежных коммуникация, настройка связей, внесение электронного варианта ИТД</t>
  </si>
  <si>
    <t xml:space="preserve">все на смарку</t>
  </si>
  <si>
    <t xml:space="preserve">диспансеризация </t>
  </si>
  <si>
    <t xml:space="preserve">Проинвенторизировано 15 папок (10 паспортов было прикреплено; 4 остсутствововали)</t>
  </si>
  <si>
    <t xml:space="preserve">Проинвенторизировано 14 папок (6 паспортов было найдено; в 8 папках паспорта остутствовали)</t>
  </si>
  <si>
    <t xml:space="preserve">14 папок не нашел паспорта; 7 паспорта прикреплены. Всего проинвентаризирована 21 папка.</t>
  </si>
  <si>
    <t xml:space="preserve">Отсканировано на сканере: 9; Остканировано на плоттере: 11. Проинвентаризировано папок: 11; Прикриплено паспортов: 2</t>
  </si>
  <si>
    <t xml:space="preserve">Проинвенторизировано 3 папки; Добавлено 2 паспорта на задвижки; Отсканировано на сканере 9; остканировано на плоттере 29; Сделана выборка для поиска архивных папок</t>
  </si>
  <si>
    <t xml:space="preserve">Проинвентаризировано 6 папок (отсканировано на плоттере 4; отсканировано на сканере 26; постобработка готовых сканов 36</t>
  </si>
  <si>
    <t xml:space="preserve">Проинвентаризировано 5 папок; Отсканировано документов 43 с постобработкой; 17 документов сделана постаобработка; сделана выборка для поиска папок в архиве/ Найдено паспртов: 6; не найдено: 11 </t>
  </si>
  <si>
    <t xml:space="preserve">Проинвентаризировано 6 папок; Отсканировано документов 56 с постобработкой;  сделана выборка для поиска папок в архиве/ Найдено паспортов: 9; не найдено: 7 </t>
  </si>
  <si>
    <t xml:space="preserve">Проинвентаризировано папок 8; Отсканировано документов 52; из них прикреплено паспортов 6; не найдено паспортов 1</t>
  </si>
  <si>
    <t xml:space="preserve">Проинвентаризировано папок 7; Отсканировано документов 36; из них прикреплено паспортов 5; не найдено паспортов 11</t>
  </si>
  <si>
    <t xml:space="preserve">Проинвентаризировано 7 папок; Отсканировано документов 47 страниц;</t>
  </si>
  <si>
    <t xml:space="preserve">Проивентаризировано 6 папок; отсканировано и прикреплено 43 страницы</t>
  </si>
  <si>
    <t xml:space="preserve">Проивентаризировано 7 папок. Отскнировано 45; Прикреплено 45</t>
  </si>
  <si>
    <t xml:space="preserve">Проинвентаризировано 4 папки; 2 папки пересканировал документацию (кальки) полностью. Отсканировано на плоттере 18 листов</t>
  </si>
  <si>
    <t xml:space="preserve">Проинвентаризировано папок 7; Отсканировано на плоттере 36;пособработано сканов 36; отсканировано на обычном сканере 12.</t>
  </si>
  <si>
    <t xml:space="preserve">Проинвентаризировано 7 папок; Отсканировано на плоттере 19 листов; Отсканировано на сканере:34; Постобработка сканов: 23</t>
  </si>
  <si>
    <t xml:space="preserve">Проинветаризировано 5 папок; отсканировано 69 страниц (48 на сканере и 21 на плоттере). Выполнена постобработка 21 страницы</t>
  </si>
  <si>
    <t xml:space="preserve">Проинвентаризировано папок 5; Отсканировано на плоттере 11; отсканировано на сканере 32; выполнено постобработка изображений 14</t>
  </si>
  <si>
    <t xml:space="preserve">Отсканировано на сканере: 43; отсканировано на плоттере: 13; Выполнена постобработка: 13; Найдено паспортов: 8; Не найдень паспортов: 5. Проинвентаризировано папок: 8</t>
  </si>
  <si>
    <t xml:space="preserve">Проинвентаризировано 8 папок; отсканировано на сканере 33; на плоттере 3; найдено паспортов 9; не найдено паспорто 4</t>
  </si>
  <si>
    <t xml:space="preserve">Проинвентаризировано папок: 9; Отсканировано документов 42 (13 на плоттере; 29 на сканере; постобработка выполнена для 13 документов). Добавлено паспортов на задвижки/краны 14 (найдено 9; не найдено 5)</t>
  </si>
  <si>
    <t xml:space="preserve">Отсканировано на плоттере 12; отсканировано на сканере 35; найдено паспортов 6; не найдено 5</t>
  </si>
  <si>
    <t xml:space="preserve">Отсканировано на сканер 33; на плоттере 61; Проинвентаризировано папок 8; Прикреплено паспортов на краны (найдено: 9; не найдено 4)</t>
  </si>
  <si>
    <t xml:space="preserve">Постобработка сканированных изображений на плоттере 61; Проинвентаризировано папок 6; Отсканировано на сканере: 51; найдено паспортов: 8; не найдено: 5 </t>
  </si>
  <si>
    <t xml:space="preserve">Проинвентаризировано папок 9;Найдено паспортов 10; Не найдено 4; Отсканировано документов 43 (на сканере 31 на плоттере 12; выполнена постобработка страниц 43)</t>
  </si>
  <si>
    <t xml:space="preserve">Проинвентаризировано папок: 9. Отсканировано документов: 47 (на плоттере: 6; на сканере 41). Найдено паспортов 13; Не найдено: 0</t>
  </si>
  <si>
    <t xml:space="preserve">Проинвентаризировано папок 8; Отсканировано документов: 44 (на сканере 37; на плоттере 7); паспортов найдено: 14; не найдено: 0</t>
  </si>
  <si>
    <t xml:space="preserve">Отсканировано документов: 45 (на сканере:43; на плоттере: 17). Проивентаризировано папок: 8; Прикреплено паспортов: 8; не найдено паспортов: 5 </t>
  </si>
  <si>
    <t xml:space="preserve">Отсканировано документов: 32 (на сканере:23; на плоттере: 9) проинвентаризировано папок: 8; найдено паспортов: 10; не найдено: 2 </t>
  </si>
  <si>
    <t xml:space="preserve">Собрание службу (1 ч. 25 мин.; проинвентаризировано папок: 4; Отсканировано документов (на сканере: 27); Найдено паспортов: 8.)</t>
  </si>
  <si>
    <t xml:space="preserve">Проинвентаризировано папок: 6; Отсканировано доментов 39 (37 на сканере и 2 на плоттере); Прикреплено паспортов на краны: 14</t>
  </si>
  <si>
    <t xml:space="preserve">Отсканировано и прикреплено документов: 37 (34 на сканере и 3 на плоттере); проинвентаризировано папок: 6; Найдено паспортов: 9; Не найдено: 2</t>
  </si>
  <si>
    <t xml:space="preserve">Отсканировано на сканере: 34; Проинвентаризировано папок: 9. Найдено паспортов: 12; Не найдено паспортов: 1</t>
  </si>
  <si>
    <t xml:space="preserve">Проинвенатрзировано папок: 7; Отсканировано документов: 37; Найдено паспортов: 10; Не найдено: 0</t>
  </si>
  <si>
    <t xml:space="preserve">Проинвентаризировано папок:8; Отсканировано на сканере: 29; Отсканировано на плоттере: 5. Найдено паспортов: 14</t>
  </si>
  <si>
    <t xml:space="preserve">Проинвентаризировано папок: 9; Найдено паспортов на КШ (ЗУ):14; Отсканировано документов:31 (22 на сканере; 9 на плоттере)</t>
  </si>
  <si>
    <t xml:space="preserve">Работал в 320 до 10:30 затем работал в архиве (искал накладные Белгазтезника)</t>
  </si>
  <si>
    <t xml:space="preserve">Работа в архиве и поиск накладных Белгазтехника</t>
  </si>
  <si>
    <t xml:space="preserve">Работа в архиве до 14:30</t>
  </si>
  <si>
    <t xml:space="preserve">Отсканировано на сканере: 26; отсканировано на плоттере: 5; Найдено паспортов: 8</t>
  </si>
  <si>
    <t xml:space="preserve">Отскнировано на плоттере; 7; Отсканировано на сканере: 36; Проинвентаризировано папок: 8. Найдено паспортов: 9; Не найдено 3</t>
  </si>
  <si>
    <t xml:space="preserve">Отсканировано на сканере: 35; Проинветаризировано папок: 7; Найдено паспортов 10; Не найдено: 2</t>
  </si>
  <si>
    <t xml:space="preserve">Отсканировано документов: 29; Проинвентаризировано папок: 6. Найдено паспортов 7; Не найдено 2</t>
  </si>
  <si>
    <t xml:space="preserve">Отсканировано документов: 37; Проинвентаризировано папок: 7. Найдено паспортов 13; Не найдено 1</t>
  </si>
  <si>
    <t xml:space="preserve">Отсканировано документов: 41; Проинвентаризировано папок: 8. Найдено паспортов 12; Не найдено 3</t>
  </si>
  <si>
    <t xml:space="preserve">Отсканировано документов: 45; Проинвентаризировано папок: 8. Найдено паспортов 14; Не найдено 3</t>
  </si>
  <si>
    <t xml:space="preserve">Отсканировано документов: 43; Проинвентаризировано папок: 9. Найдено паспортов 14; Не найдено 5</t>
  </si>
  <si>
    <t xml:space="preserve">Отсканировано документов: 33; Проинвентаризировано папок: 7. Найдено паспортов 11; Не найдено 3</t>
  </si>
  <si>
    <t xml:space="preserve">Отсканировано документов: 37; Проинвентаризировано папок: 7. Найдено паспортов 11; Не найдено 4</t>
  </si>
  <si>
    <t xml:space="preserve">Отсканировано документов: 22; Проинвентаризировано папок: 7. Найдено паспортов 9; Не найдено 3</t>
  </si>
  <si>
    <t xml:space="preserve">Отсканировано документов: 47; Проинвентаризировано папок:11. Найдено паспортов 9; Не найдено 2</t>
  </si>
  <si>
    <t xml:space="preserve">Отсканировано документов: 33; Проинвентаризировано папок: 9. Найдено паспортов 6; Не найдено 5</t>
  </si>
  <si>
    <t xml:space="preserve">Отсканировано документов: 41; Проинвентаризировано папок: 7. Найдено паспортов 12; Не найдено 5</t>
  </si>
  <si>
    <t xml:space="preserve">Отсканировано документов: 53; Проинвентаризировано папок: 12. Найдено паспортов 5; Не найдено 2</t>
  </si>
  <si>
    <t xml:space="preserve">Отсканировано документов: 44; Проинвентаризировано папок: 9. Найдено паспортов 6; Не найдено 7</t>
  </si>
  <si>
    <t xml:space="preserve">Отсканировано документов: 39; Проинвентаризировано папок: 7. Найдено паспортов 5; Не найдено 8</t>
  </si>
  <si>
    <t xml:space="preserve">Отсканировано документов:30; Проинвентаризировано папок: 6. Найдено паспортов 4; Не найдено 5</t>
  </si>
  <si>
    <t xml:space="preserve">Поиск архивных номеров по планшетам; Отсканировано документов на сканере 29; остканировано на плоттере 9; Проинвентаризировано папок 8; Найдено паспортов: 5; Не найдено: 7</t>
  </si>
  <si>
    <t xml:space="preserve">Поиск архивных номеров по планшетам; Отсканировано документов на сканере 34; остканировано на плоттере 9; Проинвентаризировано папок 9; Найдено паспортов: 4; Не найдено: 6</t>
  </si>
  <si>
    <t xml:space="preserve">Поиск архивных номеров по планшетам; Отсканировано документов на сканере 30; остканировано на плоттере 12; Проинвентаризировано папок 7; Найдено паспортов: 2; Не найдено: 7</t>
  </si>
  <si>
    <t xml:space="preserve">Поиск архивных номеров по планшетам; Отсканировано документов на сканере 23; остканировано на плоттере 10; Проинвентаризировано папок 6; Найдено паспортов: 4; Не найдено:6</t>
  </si>
  <si>
    <t xml:space="preserve">Поиск архивных номеров по планшетам; Отсканировано документов на сканере 15; остканировано на плоттере 14; Проинвентаризировано папок 5; Найдено паспортов: 3; Не найдено: 6</t>
  </si>
  <si>
    <t xml:space="preserve">Поиск архивных номеров по планшетам; Отсканировано документов на сканере 28; остканировано на плоттере 7; Проинвентаризировано папок 6; Найдено паспортов: 3; Не найдено: 6</t>
  </si>
  <si>
    <t xml:space="preserve">Поиск архивных номеров по планшетам; Отсканировано документов на сканере 15; остканировано на плоттере 13; Проинвентаризировано папок 6; Найдено паспортов: 2; Не найдено: 6</t>
  </si>
  <si>
    <t xml:space="preserve">Поиск архивных номеров по планшетам; Отсканировано документов на сканере 13; остканировано на плоттере30; Проинвентаризировано папок 7; Найдено паспортов: 4; Не найдено: 7</t>
  </si>
  <si>
    <t xml:space="preserve">Поиск архивных номеров по планшетам; Отсканировано документов на сканере 19; остканировано на плоттере 20; Проинвентаризировано папок 7; Найдено паспортов: 6; Не найдено: 7</t>
  </si>
  <si>
    <t xml:space="preserve">Поиск архивных номеров по планшетам; Отсканировано документов на сканере 25; остканировано на плоттере 7; Проинвентаризировано папок 6; Найдено паспортов: 2; Не найдено: 6</t>
  </si>
  <si>
    <t xml:space="preserve">Поиск архивных номеров по планшетам; Отсканировано документов на сканере 25; остканировано на плоттере 6; Проинвентаризировано папок 5; Найдено паспортов: 3; Не найдено: 8</t>
  </si>
  <si>
    <t xml:space="preserve">Поиск архивных номеров по планшетам; Отсканировано документов на сканере 31; остканировано на плоттере 6; Проинвентаризировано папок 7; Найдено паспортов: 2; Не найдено: 7</t>
  </si>
  <si>
    <t xml:space="preserve">Поиск архивных номеров по планшетам; Отсканировано документов на сканере 25; остканировано на плоттере 17; Проинвентаризировано папок 4; Найдено паспортов: 3; Не найдено: 8</t>
  </si>
  <si>
    <t xml:space="preserve">Поиск архивных номеров по планшетам; Отсканировано документов на сканере 39; остканировано на плоттере 8; Проинвентаризировано папок 6; Найдено паспортов: 4; Не найдено: 5</t>
  </si>
  <si>
    <t xml:space="preserve">Поиск архивных номеров по планшетам; Отсканировано документов на сканере 29; остканировано на плоттере 5; Проинвентаризировано папок 4; Найдено паспортов: 3; Не найдено: 7</t>
  </si>
  <si>
    <t xml:space="preserve">Поиск архивных номеров по планшетам; Отсканировано документов на сканере 35; остканировано на плоттере 7; Проинвентаризировано папок 7; Найдено паспортов: 6; Не найдено: 8</t>
  </si>
  <si>
    <t xml:space="preserve">Поиск архивных номеров по планшетам; Отсканировано документов на сканере 38; остканировано на плоттере 11; Проинвентаризировано папок 6; Найдено паспортов: 3; Не найдено: 6</t>
  </si>
  <si>
    <t xml:space="preserve">Поиск архивных номеров по планшетам; Отсканировано документов на сканере 38; остканировано на плоттере 8; Проинвентаризировано папок 5; Найдено паспортов: 3; Не найдено: 6</t>
  </si>
  <si>
    <t xml:space="preserve">Поиск архивных номеров по планшетам; Отсканировано документов на сканере 30; остканировано на плоттере 6; Проинвентаризировано папок 5; Найдено паспортов: 4; Не найдено: 6</t>
  </si>
  <si>
    <t xml:space="preserve">Поиск архивных номеров по планшетам; Отсканировано документов на сканере 21; остканировано на плоттере 8; Проинвентаризировано папок 4; Найдено паспортов: 2; Не найдено: 6</t>
  </si>
  <si>
    <t xml:space="preserve">Поиск архивных номеров по планшетам; Отсканировано документов на сканере 39; Найдено паспортов: 3. Не найдено: 2 После 13:00 Сканировка документов для УРГ</t>
  </si>
  <si>
    <t xml:space="preserve">Сканировка УРГ. Не занимался 7 ЭГ. Отсканировано документов для УРГ: 45 </t>
  </si>
  <si>
    <t xml:space="preserve">Сканировка для 7ЭГ. Отсканировано на плоттере: 14; Отсканировано на сканере: 25. Найдено паспортов: 4. Не найдено:7</t>
  </si>
  <si>
    <t xml:space="preserve">До 12:00 7ЭГ. После обеда УРГ. Вводные понятия в программу узлы редуцирования. </t>
  </si>
  <si>
    <t xml:space="preserve">Внесение нарядов в програмные комплексы</t>
  </si>
  <si>
    <t>таблички</t>
  </si>
  <si>
    <t>лесопросека</t>
  </si>
  <si>
    <t>минскоблгаз</t>
  </si>
  <si>
    <t>145.</t>
  </si>
  <si>
    <t xml:space="preserve">печать писем для Русак</t>
  </si>
  <si>
    <t>ЗУ</t>
  </si>
  <si>
    <t>зу</t>
  </si>
  <si>
    <t xml:space="preserve">таблица для Жуковского</t>
  </si>
  <si>
    <t>Зу</t>
  </si>
  <si>
    <t xml:space="preserve">реестр, проверка отрисовок</t>
  </si>
  <si>
    <t>ТБЗ</t>
  </si>
  <si>
    <t>+</t>
  </si>
  <si>
    <t>22,06,2026</t>
  </si>
  <si>
    <t xml:space="preserve">Отчет по выполненной работе в программных комплексах 7ЭГ, МПК "Панорама", ПК "УРГ" за</t>
  </si>
  <si>
    <t>г.</t>
  </si>
  <si>
    <t xml:space="preserve">По количеству</t>
  </si>
  <si>
    <t xml:space="preserve">Норма времени</t>
  </si>
  <si>
    <t xml:space="preserve">По времени</t>
  </si>
  <si>
    <t>Итого</t>
  </si>
  <si>
    <t>Городинский</t>
  </si>
  <si>
    <t>Горох</t>
  </si>
  <si>
    <t>Градусова</t>
  </si>
  <si>
    <t>Ксеневич</t>
  </si>
  <si>
    <t>Кошель</t>
  </si>
  <si>
    <t>Новик</t>
  </si>
  <si>
    <t>Савич</t>
  </si>
  <si>
    <t>Котик</t>
  </si>
  <si>
    <t>Фурс</t>
  </si>
  <si>
    <t>Омельчук</t>
  </si>
  <si>
    <t>Общее</t>
  </si>
  <si>
    <t xml:space="preserve">Ликвидация неактуальной документации и фотоматериалов 
в ПК УРГ</t>
  </si>
  <si>
    <t>Производительность</t>
  </si>
  <si>
    <t>%</t>
  </si>
  <si>
    <t>Отработано</t>
  </si>
  <si>
    <t>часов</t>
  </si>
  <si>
    <t xml:space="preserve">Руководитель ГООГС СЭОГС </t>
  </si>
  <si>
    <t>______________________</t>
  </si>
  <si>
    <t xml:space="preserve">Бутько В.С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</si>
</sst>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"/>
  </numFmts>
  <fonts count="16">
    <font>
      <sz val="10.000000"/>
      <name val="Calibri"/>
    </font>
    <font>
      <sz val="10.000000"/>
      <name val="Arial"/>
    </font>
    <font>
      <sz val="11.000000"/>
      <color rgb="FF9C6500"/>
      <name val="Arial"/>
      <scheme val="minor"/>
    </font>
    <font>
      <sz val="11.000000"/>
      <color rgb="FF006100"/>
      <name val="Arial"/>
      <scheme val="minor"/>
    </font>
    <font>
      <sz val="11.000000"/>
      <color theme="1"/>
      <name val="Calibri"/>
    </font>
    <font>
      <sz val="16.000000"/>
      <name val="Calibri"/>
    </font>
    <font>
      <sz val="18.000000"/>
      <name val="Calibri"/>
    </font>
    <font>
      <sz val="10.000000"/>
      <color theme="1"/>
      <name val="Calibri"/>
    </font>
    <font>
      <b/>
      <sz val="10.000000"/>
      <name val="PT Sans"/>
    </font>
    <font>
      <b/>
      <sz val="10.000000"/>
      <name val="Calibri"/>
    </font>
    <font>
      <sz val="14.000000"/>
      <name val="Calibri"/>
    </font>
    <font>
      <sz val="10.000000"/>
      <color theme="1" tint="0"/>
      <name val="Calibri"/>
    </font>
    <font>
      <sz val="10.000000"/>
      <color indexed="2"/>
      <name val="Calibri"/>
    </font>
    <font>
      <sz val="8.000000"/>
      <name val="Calibri"/>
    </font>
    <font>
      <sz val="11.000000"/>
      <name val="Calibri"/>
    </font>
    <font>
      <sz val="17.000000"/>
      <color theme="1"/>
      <name val="Calibri"/>
    </font>
  </fonts>
  <fills count="25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ADD989"/>
        <bgColor rgb="FFADD989"/>
      </patternFill>
    </fill>
    <fill>
      <patternFill patternType="solid">
        <fgColor rgb="FFBFD969"/>
        <bgColor rgb="FFBFD969"/>
      </patternFill>
    </fill>
    <fill>
      <patternFill patternType="solid">
        <fgColor theme="0" tint="0"/>
        <bgColor theme="0" tint="0"/>
      </patternFill>
    </fill>
    <fill>
      <patternFill patternType="solid">
        <fgColor rgb="FFBAE5FE"/>
        <bgColor rgb="FFBAE5FE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indexed="5"/>
        <bgColor indexed="5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AFD095"/>
        <bgColor rgb="FFB4C7DC"/>
      </patternFill>
    </fill>
    <fill>
      <patternFill patternType="solid">
        <fgColor rgb="FFDEE6EF"/>
        <bgColor indexed="27"/>
      </patternFill>
    </fill>
    <fill>
      <patternFill patternType="solid">
        <fgColor rgb="FFF7D1D5"/>
        <bgColor rgb="FFDEE6EF"/>
      </patternFill>
    </fill>
    <fill>
      <patternFill patternType="solid">
        <fgColor rgb="FFFFFFA6"/>
        <bgColor indexed="26"/>
      </patternFill>
    </fill>
    <fill>
      <patternFill patternType="solid">
        <fgColor rgb="FF729FCF"/>
        <bgColor indexed="55"/>
      </patternFill>
    </fill>
    <fill>
      <patternFill patternType="solid">
        <fgColor rgb="FFD4EA6B"/>
        <bgColor rgb="FFAFD095"/>
      </patternFill>
    </fill>
    <fill>
      <patternFill patternType="solid">
        <fgColor rgb="FFFF972F"/>
        <bgColor indexed="2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2" tint="-0.249977111117893"/>
        <bgColor theme="2" tint="-0.249977111117893"/>
      </patternFill>
    </fill>
  </fills>
  <borders count="8">
    <border>
      <left style="none"/>
      <right style="none"/>
      <top style="none"/>
      <bottom style="none"/>
      <diagonal style="none"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hair">
        <color theme="1"/>
      </bottom>
      <diagonal style="none"/>
    </border>
    <border>
      <left style="hair">
        <color theme="1"/>
      </left>
      <right style="none"/>
      <top style="hair">
        <color theme="1"/>
      </top>
      <bottom style="hair">
        <color theme="1"/>
      </bottom>
      <diagonal style="none"/>
    </border>
    <border>
      <left style="none"/>
      <right style="hair">
        <color theme="1"/>
      </right>
      <top style="hair">
        <color theme="1"/>
      </top>
      <bottom style="hair">
        <color theme="1"/>
      </bottom>
      <diagonal style="none"/>
    </border>
  </borders>
  <cellStyleXfs count="8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  <xf fontId="2" fillId="2" borderId="0" numFmtId="0" applyNumberFormat="0" applyFont="1" applyFill="1" applyBorder="0"/>
    <xf fontId="3" fillId="3" borderId="0" numFmtId="0" applyNumberFormat="0" applyFont="1" applyFill="1" applyBorder="0"/>
  </cellStyleXfs>
  <cellXfs count="81">
    <xf fontId="0" fillId="0" borderId="0" numFmtId="0" xfId="0" applyProtection="0">
      <protection hidden="0" locked="1"/>
    </xf>
    <xf fontId="0" fillId="0" borderId="0" numFmtId="0" xfId="0" applyProtection="1">
      <protection hidden="0" locked="1"/>
    </xf>
    <xf fontId="4" fillId="0" borderId="1" numFmtId="0" xfId="0" applyFont="1" applyBorder="1" applyAlignment="1" applyProtection="1">
      <alignment horizontal="center" vertical="center" wrapText="1"/>
      <protection hidden="0" locked="1"/>
    </xf>
    <xf fontId="5" fillId="0" borderId="0" numFmtId="164" xfId="0" applyNumberFormat="1" applyFont="1" applyAlignment="1" applyProtection="1">
      <alignment horizontal="center" vertical="center"/>
      <protection hidden="0" locked="1"/>
    </xf>
    <xf fontId="6" fillId="0" borderId="0" numFmtId="0" xfId="0" applyFont="1" applyAlignment="1" applyProtection="1">
      <alignment horizontal="center" vertical="center"/>
      <protection hidden="0" locked="1"/>
    </xf>
    <xf fontId="4" fillId="0" borderId="1" numFmtId="0" xfId="0" applyFont="1" applyBorder="1" applyAlignment="1" applyProtection="1">
      <alignment horizontal="left" vertical="center" wrapText="1"/>
      <protection hidden="0" locked="1"/>
    </xf>
    <xf fontId="7" fillId="0" borderId="0" numFmtId="0" xfId="0" applyFont="1" applyAlignment="1" applyProtection="1">
      <alignment wrapText="1"/>
      <protection hidden="0" locked="1"/>
    </xf>
    <xf fontId="0" fillId="0" borderId="0" numFmtId="0" xfId="0" applyAlignment="1" applyProtection="1">
      <alignment horizontal="center" vertical="center"/>
      <protection hidden="0" locked="1"/>
    </xf>
    <xf fontId="8" fillId="0" borderId="0" numFmtId="0" xfId="0" applyFont="1" applyAlignment="1" applyProtection="1">
      <alignment horizontal="left"/>
      <protection hidden="0" locked="1"/>
    </xf>
    <xf fontId="9" fillId="0" borderId="0" numFmtId="0" xfId="0" applyFont="1" applyProtection="0">
      <protection hidden="0" locked="1"/>
    </xf>
    <xf fontId="8" fillId="0" borderId="0" numFmtId="0" xfId="0" applyFont="1" applyAlignment="1" applyProtection="0">
      <alignment horizontal="left"/>
      <protection hidden="0" locked="1"/>
    </xf>
    <xf fontId="0" fillId="0" borderId="0" numFmtId="2" xfId="0" applyNumberFormat="1" applyProtection="0">
      <protection hidden="0" locked="1"/>
    </xf>
    <xf fontId="0" fillId="0" borderId="0" numFmtId="16" xfId="0" applyNumberFormat="1" applyProtection="0">
      <protection hidden="0" locked="1"/>
    </xf>
    <xf fontId="0" fillId="0" borderId="0" numFmtId="0" xfId="0" applyAlignment="1" applyProtection="1">
      <alignment horizontal="right"/>
      <protection hidden="0" locked="1"/>
    </xf>
    <xf fontId="4" fillId="0" borderId="1" numFmtId="0" xfId="0" applyFont="1" applyBorder="1" applyProtection="1">
      <protection hidden="0" locked="1"/>
    </xf>
    <xf fontId="0" fillId="4" borderId="0" numFmtId="0" xfId="0" applyFill="1" applyProtection="0">
      <protection hidden="0" locked="1"/>
    </xf>
    <xf fontId="0" fillId="0" borderId="0" numFmtId="0" xfId="0" applyAlignment="1" applyProtection="1">
      <alignment horizontal="center"/>
      <protection hidden="0" locked="1"/>
    </xf>
    <xf fontId="10" fillId="0" borderId="0" numFmtId="0" xfId="0" applyFont="1" applyAlignment="1" applyProtection="1">
      <alignment horizontal="center" vertical="center"/>
      <protection hidden="0" locked="1"/>
    </xf>
    <xf fontId="0" fillId="0" borderId="0" numFmtId="0" xfId="0" applyAlignment="1" applyProtection="0">
      <alignment horizontal="center" vertical="center"/>
      <protection hidden="0" locked="1"/>
    </xf>
    <xf fontId="4" fillId="5" borderId="1" numFmtId="0" xfId="0" applyFont="1" applyFill="1" applyBorder="1" applyAlignment="1" applyProtection="1">
      <alignment horizontal="center" vertical="center" wrapText="1"/>
      <protection hidden="0" locked="1"/>
    </xf>
    <xf fontId="5" fillId="4" borderId="0" numFmtId="164" xfId="0" applyNumberFormat="1" applyFont="1" applyFill="1" applyAlignment="1" applyProtection="1">
      <alignment horizontal="center" vertical="center"/>
      <protection hidden="0" locked="1"/>
    </xf>
    <xf fontId="10" fillId="0" borderId="0" numFmtId="164" xfId="0" applyNumberFormat="1" applyFont="1" applyAlignment="1" applyProtection="1">
      <alignment horizontal="center" vertical="center"/>
      <protection hidden="0" locked="1"/>
    </xf>
    <xf fontId="5" fillId="6" borderId="0" numFmtId="164" xfId="0" applyNumberFormat="1" applyFont="1" applyFill="1" applyAlignment="1" applyProtection="1">
      <alignment horizontal="center" vertical="center"/>
      <protection hidden="0" locked="1"/>
    </xf>
    <xf fontId="5" fillId="7" borderId="0" numFmtId="164" xfId="0" applyNumberFormat="1" applyFont="1" applyFill="1" applyAlignment="1" applyProtection="1">
      <alignment horizontal="center" vertical="center"/>
      <protection hidden="0" locked="1"/>
    </xf>
    <xf fontId="5" fillId="8" borderId="0" numFmtId="164" xfId="0" applyNumberFormat="1" applyFont="1" applyFill="1" applyAlignment="1" applyProtection="1">
      <alignment horizontal="center" vertical="center"/>
      <protection hidden="0" locked="1"/>
    </xf>
    <xf fontId="5" fillId="9" borderId="0" numFmtId="164" xfId="0" applyNumberFormat="1" applyFont="1" applyFill="1" applyAlignment="1" applyProtection="1">
      <alignment horizontal="center" vertical="center"/>
      <protection hidden="0" locked="1"/>
    </xf>
    <xf fontId="4" fillId="5" borderId="1" numFmtId="0" xfId="0" applyFont="1" applyFill="1" applyBorder="1" applyAlignment="1" applyProtection="1">
      <alignment horizontal="left" vertical="center" wrapText="1"/>
      <protection hidden="0" locked="1"/>
    </xf>
    <xf fontId="0" fillId="4" borderId="0" numFmtId="0" xfId="0" applyFill="1" applyProtection="1">
      <protection hidden="0" locked="1"/>
    </xf>
    <xf fontId="4" fillId="10" borderId="1" numFmtId="0" xfId="0" applyFont="1" applyFill="1" applyBorder="1" applyAlignment="1" applyProtection="1">
      <alignment horizontal="center" vertical="center" wrapText="1"/>
      <protection hidden="0" locked="1"/>
    </xf>
    <xf fontId="4" fillId="11" borderId="1" numFmtId="0" xfId="0" applyFont="1" applyFill="1" applyBorder="1" applyAlignment="1" applyProtection="1">
      <alignment horizontal="left" vertical="center" wrapText="1"/>
      <protection hidden="0" locked="1"/>
    </xf>
    <xf fontId="0" fillId="0" borderId="0" numFmtId="0" xfId="0" applyProtection="0">
      <protection hidden="0" locked="1"/>
    </xf>
    <xf fontId="0" fillId="12" borderId="0" numFmtId="0" xfId="0" applyFill="1" applyProtection="0">
      <protection hidden="0" locked="1"/>
    </xf>
    <xf fontId="4" fillId="13" borderId="1" numFmtId="0" xfId="0" applyFont="1" applyFill="1" applyBorder="1" applyAlignment="1" applyProtection="1">
      <alignment horizontal="center" vertical="center" wrapText="1"/>
      <protection hidden="0" locked="1"/>
    </xf>
    <xf fontId="4" fillId="13" borderId="1" numFmtId="0" xfId="0" applyFont="1" applyFill="1" applyBorder="1" applyAlignment="1" applyProtection="1">
      <alignment horizontal="left" vertical="center" wrapText="1"/>
      <protection hidden="0" locked="1"/>
    </xf>
    <xf fontId="11" fillId="0" borderId="0" numFmtId="0" xfId="0" applyFont="1" applyProtection="0">
      <protection hidden="0" locked="1"/>
    </xf>
    <xf fontId="12" fillId="0" borderId="0" numFmtId="0" xfId="0" applyFont="1" applyProtection="0">
      <protection hidden="0" locked="1"/>
    </xf>
    <xf fontId="0" fillId="0" borderId="0" numFmtId="164" xfId="0" applyNumberFormat="1" applyAlignment="1" applyProtection="1">
      <alignment horizontal="center" vertical="center"/>
      <protection hidden="0" locked="1"/>
    </xf>
    <xf fontId="12" fillId="0" borderId="0" numFmtId="164" xfId="0" applyNumberFormat="1" applyFont="1" applyAlignment="1" applyProtection="1">
      <alignment horizontal="center" vertical="center"/>
      <protection hidden="0" locked="1"/>
    </xf>
    <xf fontId="4" fillId="14" borderId="1" numFmtId="0" xfId="0" applyFont="1" applyFill="1" applyBorder="1" applyAlignment="1" applyProtection="1">
      <alignment horizontal="left" vertical="center" wrapText="1"/>
      <protection hidden="0" locked="1"/>
    </xf>
    <xf fontId="4" fillId="15" borderId="1" numFmtId="0" xfId="0" applyFont="1" applyFill="1" applyBorder="1" applyAlignment="1" applyProtection="1">
      <alignment horizontal="left" vertical="center" wrapText="1"/>
      <protection hidden="0" locked="1"/>
    </xf>
    <xf fontId="4" fillId="16" borderId="1" numFmtId="0" xfId="0" applyFont="1" applyFill="1" applyBorder="1" applyAlignment="1" applyProtection="1">
      <alignment horizontal="left" vertical="center" wrapText="1"/>
      <protection hidden="0" locked="1"/>
    </xf>
    <xf fontId="4" fillId="17" borderId="1" numFmtId="0" xfId="0" applyFont="1" applyFill="1" applyBorder="1" applyAlignment="1" applyProtection="1">
      <alignment horizontal="left" vertical="center" wrapText="1"/>
      <protection hidden="0" locked="1"/>
    </xf>
    <xf fontId="4" fillId="18" borderId="1" numFmtId="0" xfId="0" applyFont="1" applyFill="1" applyBorder="1" applyAlignment="1" applyProtection="1">
      <alignment horizontal="left" vertical="center" wrapText="1"/>
      <protection hidden="0" locked="1"/>
    </xf>
    <xf fontId="4" fillId="19" borderId="1" numFmtId="0" xfId="0" applyFont="1" applyFill="1" applyBorder="1" applyAlignment="1" applyProtection="1">
      <alignment horizontal="left" vertical="center" wrapText="1"/>
      <protection hidden="0" locked="1"/>
    </xf>
    <xf fontId="4" fillId="20" borderId="1" numFmtId="0" xfId="0" applyFont="1" applyFill="1" applyBorder="1" applyAlignment="1" applyProtection="1">
      <alignment horizontal="left" vertical="center" wrapText="1"/>
      <protection hidden="0" locked="1"/>
    </xf>
    <xf fontId="13" fillId="0" borderId="0" numFmtId="0" xfId="0" applyFont="1" applyAlignment="1" applyProtection="0">
      <alignment wrapText="1"/>
      <protection hidden="0" locked="1"/>
    </xf>
    <xf fontId="0" fillId="0" borderId="1" numFmtId="0" xfId="0" applyBorder="1" applyAlignment="1" applyProtection="1">
      <alignment horizontal="center" vertical="center"/>
      <protection hidden="0" locked="1"/>
    </xf>
    <xf fontId="4" fillId="0" borderId="2" numFmtId="0" xfId="0" applyFont="1" applyBorder="1" applyAlignment="1" applyProtection="1">
      <alignment horizontal="center" vertical="center"/>
      <protection hidden="0" locked="1"/>
    </xf>
    <xf fontId="14" fillId="0" borderId="3" numFmtId="0" xfId="0" applyFont="1" applyBorder="1" applyAlignment="1" applyProtection="0">
      <alignment horizontal="right"/>
      <protection hidden="0" locked="1"/>
    </xf>
    <xf fontId="14" fillId="0" borderId="4" numFmtId="0" xfId="0" applyFont="1" applyBorder="1" applyAlignment="1" applyProtection="0">
      <alignment horizontal="right"/>
      <protection hidden="0" locked="1"/>
    </xf>
    <xf fontId="4" fillId="0" borderId="2" numFmtId="0" xfId="0" applyFont="1" applyBorder="1" applyProtection="1">
      <protection hidden="0" locked="1"/>
    </xf>
    <xf fontId="4" fillId="0" borderId="1" numFmtId="0" xfId="0" applyFont="1" applyBorder="1" applyAlignment="1" applyProtection="0">
      <alignment horizontal="left" vertical="center" wrapText="1"/>
      <protection hidden="0" locked="1"/>
    </xf>
    <xf fontId="5" fillId="21" borderId="0" numFmtId="164" xfId="0" applyNumberFormat="1" applyFont="1" applyFill="1" applyAlignment="1" applyProtection="1">
      <alignment horizontal="center" vertical="center"/>
      <protection hidden="0" locked="1"/>
    </xf>
    <xf fontId="5" fillId="22" borderId="0" numFmtId="164" xfId="0" applyNumberFormat="1" applyFont="1" applyFill="1" applyAlignment="1" applyProtection="1">
      <alignment horizontal="center" vertical="center"/>
      <protection hidden="0" locked="1"/>
    </xf>
    <xf fontId="0" fillId="0" borderId="0" numFmtId="2" xfId="0" applyNumberFormat="1" applyProtection="0">
      <protection hidden="0" locked="1"/>
    </xf>
    <xf fontId="0" fillId="0" borderId="0" numFmtId="2" xfId="0" applyNumberFormat="1" applyProtection="1">
      <protection hidden="0" locked="1"/>
    </xf>
    <xf fontId="0" fillId="23" borderId="0" numFmtId="0" xfId="0" applyFill="1" applyProtection="0">
      <protection hidden="0" locked="1"/>
    </xf>
    <xf fontId="0" fillId="0" borderId="0" numFmtId="0" xfId="0" applyAlignment="1" applyProtection="1">
      <alignment wrapText="1"/>
      <protection hidden="0" locked="1"/>
    </xf>
    <xf fontId="15" fillId="0" borderId="0" numFmtId="0" xfId="0" applyFont="1" applyAlignment="1" applyProtection="1">
      <alignment horizontal="right" vertical="center" wrapText="1"/>
      <protection hidden="0" locked="1"/>
    </xf>
    <xf fontId="15" fillId="0" borderId="0" numFmtId="0" xfId="0" applyFont="1" applyAlignment="1" applyProtection="1">
      <alignment horizontal="center" vertical="center" wrapText="1"/>
      <protection hidden="0" locked="1"/>
    </xf>
    <xf fontId="15" fillId="0" borderId="0" numFmtId="0" xfId="0" applyFont="1" applyAlignment="1" applyProtection="1">
      <alignment horizontal="left" vertical="center" wrapText="1"/>
      <protection hidden="0" locked="1"/>
    </xf>
    <xf fontId="4" fillId="0" borderId="0" numFmtId="0" xfId="0" applyFont="1" applyAlignment="1" applyProtection="1">
      <alignment horizontal="center" vertical="center" wrapText="1"/>
      <protection hidden="0" locked="1"/>
    </xf>
    <xf fontId="4" fillId="0" borderId="1" numFmtId="0" xfId="0" applyFont="1" applyBorder="1" applyAlignment="1" applyProtection="1">
      <alignment horizontal="center" readingOrder="2" vertical="center" wrapText="1"/>
      <protection hidden="0" locked="1"/>
    </xf>
    <xf fontId="6" fillId="0" borderId="0" numFmtId="0" xfId="0" applyFont="1" applyAlignment="1" applyProtection="1">
      <alignment horizontal="center" vertical="center" wrapText="1"/>
      <protection hidden="0" locked="1"/>
    </xf>
    <xf fontId="7" fillId="0" borderId="1" numFmtId="0" xfId="0" applyFont="1" applyBorder="1" applyAlignment="1" applyProtection="1">
      <alignment horizontal="center" vertical="center" wrapText="1"/>
      <protection hidden="0" locked="1"/>
    </xf>
    <xf fontId="7" fillId="24" borderId="1" numFmtId="0" xfId="0" applyFont="1" applyFill="1" applyBorder="1" applyAlignment="1" applyProtection="1">
      <alignment horizontal="center" vertical="center" wrapText="1"/>
      <protection hidden="0" locked="1"/>
    </xf>
    <xf fontId="4" fillId="24" borderId="1" numFmtId="2" xfId="0" applyNumberFormat="1" applyFont="1" applyFill="1" applyBorder="1" applyAlignment="1" applyProtection="1">
      <alignment horizontal="center" vertical="center" wrapText="1"/>
      <protection hidden="0" locked="1"/>
    </xf>
    <xf fontId="4" fillId="24" borderId="1" numFmtId="0" xfId="0" applyFont="1" applyFill="1" applyBorder="1" applyAlignment="1" applyProtection="1">
      <alignment horizontal="center" vertical="center" wrapText="1"/>
      <protection hidden="0" locked="1"/>
    </xf>
    <xf fontId="7" fillId="0" borderId="0" numFmtId="0" xfId="0" applyFont="1" applyAlignment="1" applyProtection="1">
      <alignment horizontal="center" vertical="center" wrapText="1"/>
      <protection hidden="0" locked="1"/>
    </xf>
    <xf fontId="4" fillId="0" borderId="1" numFmtId="1" xfId="0" applyNumberFormat="1" applyFont="1" applyBorder="1" applyAlignment="1" applyProtection="1">
      <alignment horizontal="center" vertical="center" wrapText="1"/>
      <protection hidden="0" locked="1"/>
    </xf>
    <xf fontId="4" fillId="0" borderId="1" numFmtId="10" xfId="0" applyNumberFormat="1" applyFont="1" applyBorder="1" applyAlignment="1" applyProtection="1">
      <alignment horizontal="center" vertical="center" wrapText="1"/>
      <protection hidden="0" locked="1"/>
    </xf>
    <xf fontId="4" fillId="0" borderId="0" numFmtId="0" xfId="0" applyFont="1" applyAlignment="1" applyProtection="1">
      <alignment horizontal="right" wrapText="1"/>
      <protection hidden="0" locked="1"/>
    </xf>
    <xf fontId="4" fillId="0" borderId="1" numFmtId="0" xfId="0" applyFont="1" applyBorder="1" applyAlignment="1" applyProtection="1">
      <alignment horizontal="center" wrapText="1"/>
      <protection hidden="0" locked="1"/>
    </xf>
    <xf fontId="4" fillId="0" borderId="1" numFmtId="0" xfId="0" applyFont="1" applyBorder="1" applyAlignment="1" applyProtection="1">
      <alignment horizontal="right" vertical="center" wrapText="1"/>
      <protection hidden="0" locked="1"/>
    </xf>
    <xf fontId="0" fillId="0" borderId="1" numFmtId="0" xfId="0" applyBorder="1" applyAlignment="1" applyProtection="1">
      <alignment horizontal="center" vertical="center" wrapText="1"/>
      <protection hidden="0" locked="1"/>
    </xf>
    <xf fontId="4" fillId="0" borderId="1" numFmtId="0" xfId="0" applyFont="1" applyBorder="1" applyAlignment="1" applyProtection="1">
      <alignment horizontal="left" wrapText="1"/>
      <protection hidden="0" locked="1"/>
    </xf>
    <xf fontId="4" fillId="0" borderId="0" numFmtId="0" xfId="0" applyFont="1" applyAlignment="1" applyProtection="1">
      <alignment horizontal="center" wrapText="1"/>
      <protection hidden="0" locked="1"/>
    </xf>
    <xf fontId="4" fillId="0" borderId="0" numFmtId="0" xfId="0" applyFont="1" applyAlignment="1" applyProtection="1">
      <alignment horizontal="left" wrapText="1"/>
      <protection hidden="0" locked="1"/>
    </xf>
    <xf fontId="0" fillId="0" borderId="5" numFmtId="0" xfId="0" applyBorder="1" applyAlignment="1" applyProtection="1">
      <alignment wrapText="1"/>
      <protection hidden="0" locked="1"/>
    </xf>
    <xf fontId="4" fillId="0" borderId="6" numFmtId="0" xfId="0" applyFont="1" applyBorder="1" applyAlignment="1" applyProtection="0">
      <alignment horizontal="right" vertical="center" wrapText="1"/>
      <protection hidden="0" locked="1"/>
    </xf>
    <xf fontId="4" fillId="0" borderId="7" numFmtId="0" xfId="0" applyFont="1" applyBorder="1" applyAlignment="1" applyProtection="0">
      <alignment horizontal="right" vertical="center" wrapText="1"/>
      <protection hidden="0" locked="1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eutral" xfId="6" builtinId="28"/>
    <cellStyle name="Good" xfId="7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10" Type="http://schemas.openxmlformats.org/officeDocument/2006/relationships/worksheet" Target="worksheets/sheet9.xml"/><Relationship  Id="rId11" Type="http://schemas.openxmlformats.org/officeDocument/2006/relationships/worksheet" Target="worksheets/sheet10.xml"/><Relationship  Id="rId12" Type="http://schemas.openxmlformats.org/officeDocument/2006/relationships/worksheet" Target="worksheets/sheet11.xml"/><Relationship  Id="rId13" Type="http://schemas.openxmlformats.org/officeDocument/2006/relationships/theme" Target="theme/theme1.xml"/><Relationship  Id="rId14" Type="http://schemas.openxmlformats.org/officeDocument/2006/relationships/sharedStrings" Target="sharedStrings.xml"/><Relationship  Id="rId15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worksheet" Target="worksheets/sheet8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>
  <namedSheetView name="Представление1" id="{B9BB053E-5EB6-D7FC-CF33-C7013E6D16C9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>
  <namedSheetView name="Представление1" id="{47DC4ADF-983E-3CA7-95BC-66199E658B80}"/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>
  <namedSheetView name="Представление1" id="{3AFDF243-2AFE-24B7-63EA-662EC3DDC819}"/>
</namedSheetView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8.xml.rels><?xml version="1.0" encoding="UTF-8" standalone="yes"?><Relationships xmlns="http://schemas.openxmlformats.org/package/2006/relationships"><Relationship  Id="rId1" Type="http://schemas.microsoft.com/office/2019/04/relationships/namedSheetView" Target="../namedSheetViews/namedSheetView1.xml"/></Relationships>
</file>

<file path=xl/worksheets/_rels/sheet9.xml.rels><?xml version="1.0" encoding="UTF-8" standalone="yes"?><Relationships xmlns="http://schemas.openxmlformats.org/package/2006/relationships"><Relationship  Id="rId1" Type="http://schemas.microsoft.com/office/2019/04/relationships/namedSheetView" Target="../namedSheetViews/namedSheetView2.xml"/></Relationships>
</file>

<file path=xl/worksheets/_rels/sheet10.xml.rels><?xml version="1.0" encoding="UTF-8" standalone="yes"?><Relationships xmlns="http://schemas.openxmlformats.org/package/2006/relationships"><Relationship  Id="rId1" Type="http://schemas.microsoft.com/office/2019/04/relationships/namedSheetView" Target="../namedSheetViews/namedSheetView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EZ10" zoomScale="100" workbookViewId="0">
      <selection activeCell="AL25" activeCellId="0" sqref="AL25"/>
    </sheetView>
  </sheetViews>
  <sheetFormatPr defaultColWidth="12.67578125" defaultRowHeight="13.5"/>
  <cols>
    <col customWidth="1" min="1" max="1" style="1" width="59.57421875"/>
    <col customWidth="1" min="2" max="2" style="1" width="22.140625"/>
    <col customWidth="0" hidden="1" min="34" max="34" style="1" width="12.67"/>
    <col customWidth="1" hidden="1" min="65" max="65" style="1" width="0"/>
    <col customWidth="0" hidden="1" min="97" max="97" style="1" width="12.67"/>
    <col customWidth="0" hidden="1" min="129" max="129" style="1" width="12.67"/>
    <col customWidth="0" hidden="1" min="160" max="160" style="1" width="12.67"/>
    <col customWidth="0" hidden="1" min="192" max="192" style="1" width="12.67"/>
    <col customWidth="0" hidden="1" min="223" max="223" style="1" width="12.67"/>
    <col customWidth="0" hidden="1" min="255" max="255" style="1" width="12.67"/>
  </cols>
  <sheetData>
    <row r="1" ht="34.200000000000003" customHeight="1">
      <c r="A1" s="2" t="s">
        <v>0</v>
      </c>
      <c r="B1" s="2" t="s">
        <v>1</v>
      </c>
      <c r="C1" s="3">
        <v>46143</v>
      </c>
      <c r="D1" s="3">
        <v>46144</v>
      </c>
      <c r="E1" s="3">
        <v>46145</v>
      </c>
      <c r="F1" s="3">
        <v>46146</v>
      </c>
      <c r="G1" s="3">
        <v>46147</v>
      </c>
      <c r="H1" s="3">
        <v>46148</v>
      </c>
      <c r="I1" s="3">
        <v>46149</v>
      </c>
      <c r="J1" s="3">
        <v>46150</v>
      </c>
      <c r="K1" s="3">
        <v>46151</v>
      </c>
      <c r="L1" s="3">
        <v>46152</v>
      </c>
      <c r="M1" s="3">
        <v>46153</v>
      </c>
      <c r="N1" s="3">
        <v>46154</v>
      </c>
      <c r="O1" s="3">
        <v>46155</v>
      </c>
      <c r="P1" s="3">
        <v>46156</v>
      </c>
      <c r="Q1" s="3">
        <v>46157</v>
      </c>
      <c r="R1" s="3">
        <v>46158</v>
      </c>
      <c r="S1" s="3">
        <v>46159</v>
      </c>
      <c r="T1" s="3">
        <v>46160</v>
      </c>
      <c r="U1" s="3">
        <v>46161</v>
      </c>
      <c r="V1" s="3">
        <v>46162</v>
      </c>
      <c r="W1" s="3">
        <v>46163</v>
      </c>
      <c r="X1" s="3">
        <v>46164</v>
      </c>
      <c r="Y1" s="3">
        <v>46165</v>
      </c>
      <c r="Z1" s="3">
        <v>46166</v>
      </c>
      <c r="AA1" s="3">
        <v>46167</v>
      </c>
      <c r="AB1" s="3">
        <v>46168</v>
      </c>
      <c r="AC1" s="3">
        <v>46169</v>
      </c>
      <c r="AD1" s="3">
        <v>46170</v>
      </c>
      <c r="AE1" s="3">
        <v>46171</v>
      </c>
      <c r="AF1" s="3">
        <v>46172</v>
      </c>
      <c r="AG1" s="3">
        <v>46173</v>
      </c>
      <c r="AH1" s="3" t="s">
        <v>2</v>
      </c>
      <c r="AI1" s="3">
        <v>46174</v>
      </c>
      <c r="AJ1" s="3">
        <v>46175</v>
      </c>
      <c r="AK1" s="3">
        <v>46176</v>
      </c>
      <c r="AL1" s="3">
        <v>46177</v>
      </c>
      <c r="AM1" s="3">
        <v>46178</v>
      </c>
      <c r="AN1" s="3">
        <v>46179</v>
      </c>
      <c r="AO1" s="3">
        <v>46180</v>
      </c>
      <c r="AP1" s="3">
        <v>46181</v>
      </c>
      <c r="AQ1" s="3">
        <v>46182</v>
      </c>
      <c r="AR1" s="3">
        <v>46183</v>
      </c>
      <c r="AS1" s="3">
        <v>46184</v>
      </c>
      <c r="AT1" s="3">
        <v>46185</v>
      </c>
      <c r="AU1" s="3">
        <v>46186</v>
      </c>
      <c r="AV1" s="3">
        <v>46187</v>
      </c>
      <c r="AW1" s="3">
        <v>46188</v>
      </c>
      <c r="AX1" s="3">
        <v>46189</v>
      </c>
      <c r="AY1" s="3">
        <v>46190</v>
      </c>
      <c r="AZ1" s="3">
        <v>46191</v>
      </c>
      <c r="BA1" s="3">
        <v>46192</v>
      </c>
      <c r="BB1" s="3">
        <v>46193</v>
      </c>
      <c r="BC1" s="3">
        <v>46194</v>
      </c>
      <c r="BD1" s="3">
        <v>46195</v>
      </c>
      <c r="BE1" s="3">
        <v>46196</v>
      </c>
      <c r="BF1" s="3">
        <v>46197</v>
      </c>
      <c r="BG1" s="3">
        <v>46198</v>
      </c>
      <c r="BH1" s="3">
        <v>46199</v>
      </c>
      <c r="BI1" s="3">
        <v>46200</v>
      </c>
      <c r="BJ1" s="3">
        <v>46201</v>
      </c>
      <c r="BK1" s="3">
        <v>46202</v>
      </c>
      <c r="BL1" s="3">
        <v>46203</v>
      </c>
      <c r="BM1" s="3" t="s">
        <v>3</v>
      </c>
      <c r="BN1" s="3">
        <v>46204</v>
      </c>
      <c r="BO1" s="3">
        <v>46205</v>
      </c>
      <c r="BP1" s="3">
        <v>46206</v>
      </c>
      <c r="BQ1" s="3">
        <v>46207</v>
      </c>
      <c r="BR1" s="3">
        <v>46208</v>
      </c>
      <c r="BS1" s="3">
        <v>46209</v>
      </c>
      <c r="BT1" s="3">
        <v>46210</v>
      </c>
      <c r="BU1" s="3">
        <v>46211</v>
      </c>
      <c r="BV1" s="3">
        <v>46212</v>
      </c>
      <c r="BW1" s="3">
        <v>46213</v>
      </c>
      <c r="BX1" s="3">
        <v>46214</v>
      </c>
      <c r="BY1" s="3">
        <v>46215</v>
      </c>
      <c r="BZ1" s="3">
        <v>46216</v>
      </c>
      <c r="CA1" s="3">
        <v>46217</v>
      </c>
      <c r="CB1" s="3">
        <v>46218</v>
      </c>
      <c r="CC1" s="3">
        <v>46219</v>
      </c>
      <c r="CD1" s="3">
        <v>46220</v>
      </c>
      <c r="CE1" s="3">
        <v>46221</v>
      </c>
      <c r="CF1" s="3">
        <v>46222</v>
      </c>
      <c r="CG1" s="3">
        <v>46223</v>
      </c>
      <c r="CH1" s="3">
        <v>46224</v>
      </c>
      <c r="CI1" s="3">
        <v>46225</v>
      </c>
      <c r="CJ1" s="3">
        <v>46226</v>
      </c>
      <c r="CK1" s="3">
        <v>46227</v>
      </c>
      <c r="CL1" s="3">
        <v>46228</v>
      </c>
      <c r="CM1" s="3">
        <v>46229</v>
      </c>
      <c r="CN1" s="3">
        <v>46230</v>
      </c>
      <c r="CO1" s="3">
        <v>46231</v>
      </c>
      <c r="CP1" s="3">
        <v>46232</v>
      </c>
      <c r="CQ1" s="3">
        <v>46233</v>
      </c>
      <c r="CR1" s="3">
        <v>46234</v>
      </c>
      <c r="CS1" s="3" t="s">
        <v>4</v>
      </c>
      <c r="CT1" s="3">
        <v>46235</v>
      </c>
      <c r="CU1" s="3">
        <v>46236</v>
      </c>
      <c r="CV1" s="3">
        <v>46237</v>
      </c>
      <c r="CW1" s="3">
        <v>46238</v>
      </c>
      <c r="CX1" s="3">
        <v>46239</v>
      </c>
      <c r="CY1" s="3">
        <v>46240</v>
      </c>
      <c r="CZ1" s="3">
        <v>46241</v>
      </c>
      <c r="DA1" s="3">
        <v>46242</v>
      </c>
      <c r="DB1" s="3">
        <v>46243</v>
      </c>
      <c r="DC1" s="3">
        <v>46244</v>
      </c>
      <c r="DD1" s="3">
        <v>46245</v>
      </c>
      <c r="DE1" s="3">
        <v>46246</v>
      </c>
      <c r="DF1" s="3">
        <v>46247</v>
      </c>
      <c r="DG1" s="3">
        <v>46248</v>
      </c>
      <c r="DH1" s="3">
        <v>46249</v>
      </c>
      <c r="DI1" s="3">
        <v>46250</v>
      </c>
      <c r="DJ1" s="3">
        <v>46251</v>
      </c>
      <c r="DK1" s="3">
        <v>46252</v>
      </c>
      <c r="DL1" s="3">
        <v>46253</v>
      </c>
      <c r="DM1" s="3">
        <v>46254</v>
      </c>
      <c r="DN1" s="3">
        <v>46255</v>
      </c>
      <c r="DO1" s="3">
        <v>46256</v>
      </c>
      <c r="DP1" s="3">
        <v>46257</v>
      </c>
      <c r="DQ1" s="3">
        <v>46258</v>
      </c>
      <c r="DR1" s="3">
        <v>46259</v>
      </c>
      <c r="DS1" s="3">
        <v>46260</v>
      </c>
      <c r="DT1" s="3">
        <v>46261</v>
      </c>
      <c r="DU1" s="3">
        <v>46262</v>
      </c>
      <c r="DV1" s="3">
        <v>46263</v>
      </c>
      <c r="DW1" s="3">
        <v>46264</v>
      </c>
      <c r="DX1" s="3">
        <v>46265</v>
      </c>
      <c r="DY1" s="3" t="s">
        <v>5</v>
      </c>
      <c r="DZ1" s="3">
        <v>46266</v>
      </c>
      <c r="EA1" s="3">
        <v>46267</v>
      </c>
      <c r="EB1" s="3">
        <v>46268</v>
      </c>
      <c r="EC1" s="3">
        <v>46269</v>
      </c>
      <c r="ED1" s="3">
        <v>46270</v>
      </c>
      <c r="EE1" s="3">
        <v>46271</v>
      </c>
      <c r="EF1" s="3">
        <v>46272</v>
      </c>
      <c r="EG1" s="3">
        <v>46273</v>
      </c>
      <c r="EH1" s="3">
        <v>46274</v>
      </c>
      <c r="EI1" s="3">
        <v>46275</v>
      </c>
      <c r="EJ1" s="3">
        <v>46276</v>
      </c>
      <c r="EK1" s="3">
        <v>46277</v>
      </c>
      <c r="EL1" s="3">
        <v>46278</v>
      </c>
      <c r="EM1" s="3">
        <v>46279</v>
      </c>
      <c r="EN1" s="3">
        <v>46280</v>
      </c>
      <c r="EO1" s="3">
        <v>46281</v>
      </c>
      <c r="EP1" s="3">
        <v>46282</v>
      </c>
      <c r="EQ1" s="3">
        <v>46283</v>
      </c>
      <c r="ER1" s="3">
        <v>46284</v>
      </c>
      <c r="ES1" s="3">
        <v>46285</v>
      </c>
      <c r="ET1" s="3">
        <v>46286</v>
      </c>
      <c r="EU1" s="3">
        <v>46287</v>
      </c>
      <c r="EV1" s="3">
        <v>46288</v>
      </c>
      <c r="EW1" s="3">
        <v>46289</v>
      </c>
      <c r="EX1" s="3">
        <v>46290</v>
      </c>
      <c r="EY1" s="3">
        <v>46291</v>
      </c>
      <c r="EZ1" s="3">
        <v>46292</v>
      </c>
      <c r="FA1" s="3">
        <v>46293</v>
      </c>
      <c r="FB1" s="3">
        <v>46294</v>
      </c>
      <c r="FC1" s="3">
        <v>46295</v>
      </c>
      <c r="FD1" s="3" t="s">
        <v>6</v>
      </c>
      <c r="FE1" s="3">
        <v>46296</v>
      </c>
      <c r="FF1" s="3">
        <v>46297</v>
      </c>
      <c r="FG1" s="3">
        <v>46298</v>
      </c>
      <c r="FH1" s="3">
        <v>46299</v>
      </c>
      <c r="FI1" s="3">
        <v>46300</v>
      </c>
      <c r="FJ1" s="3">
        <v>46301</v>
      </c>
      <c r="FK1" s="3">
        <v>46302</v>
      </c>
      <c r="FL1" s="3">
        <v>46303</v>
      </c>
      <c r="FM1" s="3">
        <v>46304</v>
      </c>
      <c r="FN1" s="3">
        <v>46305</v>
      </c>
      <c r="FO1" s="3">
        <v>46306</v>
      </c>
      <c r="FP1" s="3">
        <v>46307</v>
      </c>
      <c r="FQ1" s="3">
        <v>46308</v>
      </c>
      <c r="FR1" s="3">
        <v>46309</v>
      </c>
      <c r="FS1" s="3">
        <v>46310</v>
      </c>
      <c r="FT1" s="3">
        <v>46311</v>
      </c>
      <c r="FU1" s="3">
        <v>46312</v>
      </c>
      <c r="FV1" s="3">
        <v>46313</v>
      </c>
      <c r="FW1" s="3">
        <v>46314</v>
      </c>
      <c r="FX1" s="3">
        <v>46315</v>
      </c>
      <c r="FY1" s="3">
        <v>46316</v>
      </c>
      <c r="FZ1" s="3">
        <v>46317</v>
      </c>
      <c r="GA1" s="3">
        <v>46318</v>
      </c>
      <c r="GB1" s="3">
        <v>46319</v>
      </c>
      <c r="GC1" s="3">
        <v>46320</v>
      </c>
      <c r="GD1" s="3">
        <v>46321</v>
      </c>
      <c r="GE1" s="3">
        <v>46322</v>
      </c>
      <c r="GF1" s="3">
        <v>46323</v>
      </c>
      <c r="GG1" s="3">
        <v>46324</v>
      </c>
      <c r="GH1" s="3">
        <v>46325</v>
      </c>
      <c r="GI1" s="3">
        <v>46326</v>
      </c>
      <c r="GJ1" s="3" t="s">
        <v>7</v>
      </c>
      <c r="GK1" s="3">
        <v>46327</v>
      </c>
      <c r="GL1" s="3">
        <v>46328</v>
      </c>
      <c r="GM1" s="3">
        <v>46329</v>
      </c>
      <c r="GN1" s="3">
        <v>46330</v>
      </c>
      <c r="GO1" s="3">
        <v>46331</v>
      </c>
      <c r="GP1" s="3">
        <v>46332</v>
      </c>
      <c r="GQ1" s="3">
        <v>46333</v>
      </c>
      <c r="GR1" s="3">
        <v>46334</v>
      </c>
      <c r="GS1" s="3">
        <v>46335</v>
      </c>
      <c r="GT1" s="3">
        <v>46336</v>
      </c>
      <c r="GU1" s="3">
        <v>46337</v>
      </c>
      <c r="GV1" s="3">
        <v>46338</v>
      </c>
      <c r="GW1" s="3">
        <v>46339</v>
      </c>
      <c r="GX1" s="3">
        <v>46340</v>
      </c>
      <c r="GY1" s="3">
        <v>46341</v>
      </c>
      <c r="GZ1" s="3">
        <v>46342</v>
      </c>
      <c r="HA1" s="3">
        <v>46343</v>
      </c>
      <c r="HB1" s="3">
        <v>46344</v>
      </c>
      <c r="HC1" s="3">
        <v>46345</v>
      </c>
      <c r="HD1" s="3">
        <v>46346</v>
      </c>
      <c r="HE1" s="3">
        <v>46347</v>
      </c>
      <c r="HF1" s="3">
        <v>46348</v>
      </c>
      <c r="HG1" s="3">
        <v>46349</v>
      </c>
      <c r="HH1" s="3">
        <v>46350</v>
      </c>
      <c r="HI1" s="3">
        <v>46351</v>
      </c>
      <c r="HJ1" s="3">
        <v>46352</v>
      </c>
      <c r="HK1" s="3">
        <v>46353</v>
      </c>
      <c r="HL1" s="3">
        <v>46354</v>
      </c>
      <c r="HM1" s="3">
        <v>46355</v>
      </c>
      <c r="HN1" s="3">
        <v>46356</v>
      </c>
      <c r="HO1" s="3" t="s">
        <v>8</v>
      </c>
      <c r="HP1" s="3">
        <v>46357</v>
      </c>
      <c r="HQ1" s="3">
        <v>46358</v>
      </c>
      <c r="HR1" s="3">
        <v>46359</v>
      </c>
      <c r="HS1" s="3">
        <v>46360</v>
      </c>
      <c r="HT1" s="3">
        <v>46361</v>
      </c>
      <c r="HU1" s="3">
        <v>46362</v>
      </c>
      <c r="HV1" s="3">
        <v>46363</v>
      </c>
      <c r="HW1" s="3">
        <v>46364</v>
      </c>
      <c r="HX1" s="3">
        <v>46365</v>
      </c>
      <c r="HY1" s="3">
        <v>46366</v>
      </c>
      <c r="HZ1" s="3">
        <v>46367</v>
      </c>
      <c r="IA1" s="3">
        <v>46368</v>
      </c>
      <c r="IB1" s="3">
        <v>46369</v>
      </c>
      <c r="IC1" s="3">
        <v>46370</v>
      </c>
      <c r="ID1" s="3">
        <v>46371</v>
      </c>
      <c r="IE1" s="3">
        <v>46372</v>
      </c>
      <c r="IF1" s="3">
        <v>46373</v>
      </c>
      <c r="IG1" s="3">
        <v>46374</v>
      </c>
      <c r="IH1" s="3">
        <v>46375</v>
      </c>
      <c r="II1" s="3">
        <v>46376</v>
      </c>
      <c r="IJ1" s="3">
        <v>46377</v>
      </c>
      <c r="IK1" s="3">
        <v>46378</v>
      </c>
      <c r="IL1" s="3">
        <v>46379</v>
      </c>
      <c r="IM1" s="3">
        <v>46380</v>
      </c>
      <c r="IN1" s="3">
        <v>46381</v>
      </c>
      <c r="IO1" s="3">
        <v>46382</v>
      </c>
      <c r="IP1" s="3">
        <v>46383</v>
      </c>
      <c r="IQ1" s="3">
        <v>46384</v>
      </c>
      <c r="IR1" s="3">
        <v>46385</v>
      </c>
      <c r="IS1" s="3">
        <v>46386</v>
      </c>
      <c r="IT1" s="3">
        <v>46387</v>
      </c>
      <c r="IU1" s="4" t="s">
        <v>9</v>
      </c>
      <c r="IV1" t="s">
        <v>10</v>
      </c>
    </row>
    <row r="2" ht="88.200000000000003" customHeight="1">
      <c r="A2" s="5" t="s">
        <v>11</v>
      </c>
      <c r="B2" s="2" t="s">
        <v>12</v>
      </c>
      <c r="C2" s="6"/>
      <c r="AH2" s="7">
        <f t="shared" ref="AH2:AH9" si="0">SUM(C2:AG2)</f>
        <v>0</v>
      </c>
      <c r="AK2" s="8" t="s">
        <v>13</v>
      </c>
      <c r="AL2" s="8" t="s">
        <v>14</v>
      </c>
      <c r="AX2" s="9">
        <v>80.609999999999999</v>
      </c>
      <c r="BD2" s="10">
        <v>16.41</v>
      </c>
      <c r="BE2" s="9">
        <v>10.17</v>
      </c>
      <c r="BF2" s="9">
        <v>9.8399999999999999</v>
      </c>
      <c r="BG2" s="9">
        <v>26.969999999999999</v>
      </c>
      <c r="BH2" s="9">
        <v>60.109999999999999</v>
      </c>
      <c r="BK2" s="10">
        <v>26.98</v>
      </c>
      <c r="BL2" s="9">
        <v>119.41</v>
      </c>
      <c r="BM2" s="1">
        <f t="shared" ref="BM2:BM9" si="1">SUM(AI2:BL2)</f>
        <v>350.5</v>
      </c>
      <c r="BN2" s="9">
        <v>80.950000000000003</v>
      </c>
      <c r="BO2" s="9">
        <v>0.80000000000000004</v>
      </c>
      <c r="BT2" s="9">
        <v>11.1</v>
      </c>
      <c r="BU2" s="9">
        <v>25.859999999999999</v>
      </c>
      <c r="CA2" s="9">
        <v>8.9700000000000006</v>
      </c>
      <c r="CB2" s="9">
        <v>32.68</v>
      </c>
      <c r="CS2" s="1">
        <f t="shared" ref="CS2:CS9" si="2">SUM(BN2:CR2)</f>
        <v>160.35999999999999</v>
      </c>
      <c r="DK2" s="9">
        <v>37.149999999999999</v>
      </c>
      <c r="DL2" s="9">
        <v>31.850000000000001</v>
      </c>
      <c r="DQ2" s="9">
        <v>8.4000000000000004</v>
      </c>
      <c r="DR2" s="9">
        <v>18.57</v>
      </c>
      <c r="DS2" s="9">
        <v>36.759999999999998</v>
      </c>
      <c r="DT2" s="9">
        <v>44.109999999999999</v>
      </c>
      <c r="DY2" s="1">
        <f t="shared" ref="DY2:DY9" si="3">SUM(CT2:DX2)</f>
        <v>176.83999999999997</v>
      </c>
      <c r="EA2" s="9"/>
      <c r="EB2" s="9">
        <v>31.899999999999999</v>
      </c>
      <c r="EG2" s="9">
        <v>38.299999999999997</v>
      </c>
      <c r="EL2" s="9"/>
      <c r="EM2" s="9"/>
      <c r="EN2" s="9">
        <v>21.100000000000001</v>
      </c>
      <c r="EQ2" s="9">
        <v>198.91999999999999</v>
      </c>
      <c r="FD2" s="1">
        <f t="shared" ref="FD2:FD9" si="4">SUM(DZ2:FC2)</f>
        <v>290.21999999999997</v>
      </c>
      <c r="GJ2" s="1">
        <f t="shared" ref="GJ2:GJ9" si="5">SUM(FE2:GI2)</f>
        <v>0</v>
      </c>
      <c r="HO2" s="1">
        <f t="shared" ref="HO2:HO9" si="6">SUM(GK2:HN2)</f>
        <v>0</v>
      </c>
      <c r="IT2">
        <v>1500</v>
      </c>
      <c r="IU2" s="1">
        <f t="shared" ref="IU2:IU9" si="7">SUM(HP2:IT2)</f>
        <v>1500</v>
      </c>
      <c r="IV2" s="11">
        <f t="shared" ref="IV2:IV9" si="8">SUM(AH2,BM2,CS2,DY2,FD2,GJ2,HO2,IU2)</f>
        <v>2477.9200000000001</v>
      </c>
    </row>
    <row r="3" ht="32.399999999999999" customHeight="1">
      <c r="A3" s="5" t="s">
        <v>15</v>
      </c>
      <c r="B3" s="2" t="s">
        <v>16</v>
      </c>
      <c r="C3" s="1">
        <v>3</v>
      </c>
      <c r="AH3" s="7">
        <f t="shared" si="0"/>
        <v>3</v>
      </c>
      <c r="AJ3" s="1">
        <v>1</v>
      </c>
      <c r="AK3" s="1">
        <v>1</v>
      </c>
      <c r="BM3" s="1">
        <f t="shared" si="1"/>
        <v>2</v>
      </c>
      <c r="BT3" s="12"/>
      <c r="CS3" s="1">
        <f t="shared" si="2"/>
        <v>0</v>
      </c>
      <c r="DQ3">
        <v>1</v>
      </c>
      <c r="DT3">
        <v>1</v>
      </c>
      <c r="DY3" s="1">
        <f t="shared" si="3"/>
        <v>2</v>
      </c>
      <c r="FD3" s="1">
        <f t="shared" si="4"/>
        <v>0</v>
      </c>
      <c r="GJ3" s="1">
        <f t="shared" si="5"/>
        <v>0</v>
      </c>
      <c r="HO3" s="1">
        <f t="shared" si="6"/>
        <v>0</v>
      </c>
      <c r="IT3">
        <v>51</v>
      </c>
      <c r="IU3" s="1">
        <f t="shared" si="7"/>
        <v>51</v>
      </c>
      <c r="IV3" s="11">
        <f t="shared" si="8"/>
        <v>58</v>
      </c>
    </row>
    <row r="4" ht="32.399999999999999" customHeight="1">
      <c r="A4" s="5" t="s">
        <v>17</v>
      </c>
      <c r="B4" s="2" t="s">
        <v>16</v>
      </c>
      <c r="C4" s="1">
        <v>26</v>
      </c>
      <c r="AH4" s="7">
        <f t="shared" si="0"/>
        <v>26</v>
      </c>
      <c r="AI4" s="1">
        <v>2</v>
      </c>
      <c r="AJ4" s="1">
        <v>1</v>
      </c>
      <c r="AL4" s="1">
        <v>1</v>
      </c>
      <c r="AX4">
        <v>2</v>
      </c>
      <c r="BE4">
        <v>1</v>
      </c>
      <c r="BG4">
        <v>6</v>
      </c>
      <c r="BH4">
        <v>1</v>
      </c>
      <c r="BK4">
        <v>3</v>
      </c>
      <c r="BM4" s="1">
        <f t="shared" si="1"/>
        <v>17</v>
      </c>
      <c r="CS4" s="1">
        <f t="shared" si="2"/>
        <v>0</v>
      </c>
      <c r="DY4" s="1">
        <f t="shared" si="3"/>
        <v>0</v>
      </c>
      <c r="FD4" s="1">
        <f t="shared" si="4"/>
        <v>0</v>
      </c>
      <c r="GJ4" s="1">
        <f t="shared" si="5"/>
        <v>0</v>
      </c>
      <c r="HO4" s="1">
        <f t="shared" si="6"/>
        <v>0</v>
      </c>
      <c r="IT4">
        <v>128</v>
      </c>
      <c r="IU4" s="1">
        <f t="shared" si="7"/>
        <v>128</v>
      </c>
      <c r="IV4" s="11">
        <f t="shared" si="8"/>
        <v>171</v>
      </c>
    </row>
    <row r="5" ht="32.399999999999999" customHeight="1">
      <c r="A5" s="5" t="s">
        <v>18</v>
      </c>
      <c r="B5" s="2" t="s">
        <v>16</v>
      </c>
      <c r="C5" s="1">
        <v>26</v>
      </c>
      <c r="AH5" s="7">
        <f t="shared" si="0"/>
        <v>26</v>
      </c>
      <c r="AI5" s="1">
        <v>2</v>
      </c>
      <c r="AJ5" s="1">
        <v>1</v>
      </c>
      <c r="AL5" s="1">
        <v>1</v>
      </c>
      <c r="AX5">
        <v>2</v>
      </c>
      <c r="BE5">
        <v>1</v>
      </c>
      <c r="BG5">
        <v>6</v>
      </c>
      <c r="BH5">
        <v>1</v>
      </c>
      <c r="BK5">
        <v>3</v>
      </c>
      <c r="BM5" s="1">
        <f t="shared" si="1"/>
        <v>17</v>
      </c>
      <c r="CS5" s="1">
        <f t="shared" si="2"/>
        <v>0</v>
      </c>
      <c r="DY5" s="1">
        <f t="shared" si="3"/>
        <v>0</v>
      </c>
      <c r="FD5" s="1">
        <f t="shared" si="4"/>
        <v>0</v>
      </c>
      <c r="GJ5" s="1">
        <f t="shared" si="5"/>
        <v>0</v>
      </c>
      <c r="HO5" s="1">
        <f t="shared" si="6"/>
        <v>0</v>
      </c>
      <c r="IT5">
        <v>129</v>
      </c>
      <c r="IU5" s="1">
        <f t="shared" si="7"/>
        <v>129</v>
      </c>
      <c r="IV5" s="11">
        <f t="shared" si="8"/>
        <v>172</v>
      </c>
    </row>
    <row r="6" ht="32.399999999999999" customHeight="1">
      <c r="A6" s="5" t="s">
        <v>19</v>
      </c>
      <c r="B6" s="2" t="s">
        <v>16</v>
      </c>
      <c r="AH6" s="7">
        <f t="shared" si="0"/>
        <v>0</v>
      </c>
      <c r="BM6" s="1">
        <f t="shared" si="1"/>
        <v>0</v>
      </c>
      <c r="CS6" s="1">
        <f t="shared" si="2"/>
        <v>0</v>
      </c>
      <c r="DY6" s="1">
        <f t="shared" si="3"/>
        <v>0</v>
      </c>
      <c r="FD6" s="1">
        <f t="shared" si="4"/>
        <v>0</v>
      </c>
      <c r="GJ6" s="1">
        <f t="shared" si="5"/>
        <v>0</v>
      </c>
      <c r="HO6" s="1">
        <f t="shared" si="6"/>
        <v>0</v>
      </c>
      <c r="IT6">
        <v>30</v>
      </c>
      <c r="IU6" s="1">
        <f t="shared" si="7"/>
        <v>30</v>
      </c>
      <c r="IV6" s="11">
        <f t="shared" si="8"/>
        <v>30</v>
      </c>
    </row>
    <row r="7" ht="32.399999999999999" customHeight="1">
      <c r="A7" s="5" t="s">
        <v>20</v>
      </c>
      <c r="B7" s="2" t="s">
        <v>16</v>
      </c>
      <c r="AH7" s="7">
        <f t="shared" si="0"/>
        <v>0</v>
      </c>
      <c r="BK7">
        <v>1</v>
      </c>
      <c r="BM7" s="1">
        <f t="shared" si="1"/>
        <v>1</v>
      </c>
      <c r="CJ7">
        <v>1</v>
      </c>
      <c r="CS7" s="1">
        <f t="shared" si="2"/>
        <v>1</v>
      </c>
      <c r="DY7" s="1">
        <f t="shared" si="3"/>
        <v>0</v>
      </c>
      <c r="FD7" s="1">
        <f t="shared" si="4"/>
        <v>0</v>
      </c>
      <c r="GJ7" s="1">
        <f t="shared" si="5"/>
        <v>0</v>
      </c>
      <c r="HO7" s="1">
        <f t="shared" si="6"/>
        <v>0</v>
      </c>
      <c r="IT7">
        <v>31</v>
      </c>
      <c r="IU7" s="1">
        <f t="shared" si="7"/>
        <v>31</v>
      </c>
      <c r="IV7" s="11">
        <f t="shared" si="8"/>
        <v>33</v>
      </c>
    </row>
    <row r="8" ht="32.399999999999999" customHeight="1">
      <c r="A8" s="5" t="s">
        <v>21</v>
      </c>
      <c r="B8" s="2" t="s">
        <v>22</v>
      </c>
      <c r="AH8" s="7">
        <f t="shared" si="0"/>
        <v>0</v>
      </c>
      <c r="BM8" s="1">
        <f t="shared" si="1"/>
        <v>0</v>
      </c>
      <c r="CS8" s="1">
        <f t="shared" si="2"/>
        <v>0</v>
      </c>
      <c r="DY8" s="1">
        <f t="shared" si="3"/>
        <v>0</v>
      </c>
      <c r="FD8" s="1">
        <f t="shared" si="4"/>
        <v>0</v>
      </c>
      <c r="GJ8" s="1">
        <f t="shared" si="5"/>
        <v>0</v>
      </c>
      <c r="HO8" s="1">
        <f t="shared" si="6"/>
        <v>0</v>
      </c>
      <c r="IT8">
        <v>5</v>
      </c>
      <c r="IU8" s="1">
        <f t="shared" si="7"/>
        <v>5</v>
      </c>
      <c r="IV8" s="11">
        <f t="shared" si="8"/>
        <v>5</v>
      </c>
    </row>
    <row r="9" ht="32.399999999999999" customHeight="1">
      <c r="A9" s="5" t="s">
        <v>23</v>
      </c>
      <c r="B9" s="2" t="s">
        <v>16</v>
      </c>
      <c r="C9" s="1">
        <v>27</v>
      </c>
      <c r="AH9" s="7">
        <f t="shared" si="0"/>
        <v>27</v>
      </c>
      <c r="AI9" s="1">
        <v>8</v>
      </c>
      <c r="AK9" s="1">
        <v>8</v>
      </c>
      <c r="AL9" s="1">
        <v>8</v>
      </c>
      <c r="AX9">
        <v>15</v>
      </c>
      <c r="BD9">
        <v>5</v>
      </c>
      <c r="BE9">
        <v>5</v>
      </c>
      <c r="BF9">
        <v>5</v>
      </c>
      <c r="BG9">
        <v>25</v>
      </c>
      <c r="BH9">
        <v>7</v>
      </c>
      <c r="BK9">
        <v>7</v>
      </c>
      <c r="BL9">
        <v>18</v>
      </c>
      <c r="BM9" s="1">
        <f t="shared" si="1"/>
        <v>111</v>
      </c>
      <c r="BN9">
        <v>12</v>
      </c>
      <c r="BO9">
        <v>4</v>
      </c>
      <c r="BT9">
        <v>6</v>
      </c>
      <c r="BU9">
        <v>6</v>
      </c>
      <c r="CA9">
        <v>6</v>
      </c>
      <c r="CB9">
        <v>6</v>
      </c>
      <c r="CN9">
        <v>208</v>
      </c>
      <c r="CO9">
        <v>6</v>
      </c>
      <c r="CS9" s="1">
        <f t="shared" si="2"/>
        <v>254</v>
      </c>
      <c r="CX9">
        <v>178</v>
      </c>
      <c r="DC9">
        <v>9</v>
      </c>
      <c r="DK9">
        <v>35</v>
      </c>
      <c r="DN9">
        <v>18</v>
      </c>
      <c r="DQ9">
        <v>17</v>
      </c>
      <c r="DS9">
        <v>33</v>
      </c>
      <c r="DY9" s="1">
        <f t="shared" si="3"/>
        <v>290</v>
      </c>
      <c r="DZ9">
        <v>3</v>
      </c>
      <c r="EA9">
        <v>19</v>
      </c>
      <c r="EF9">
        <v>21</v>
      </c>
      <c r="EM9">
        <v>10</v>
      </c>
      <c r="EQ9">
        <v>10</v>
      </c>
      <c r="FD9" s="1">
        <f t="shared" si="4"/>
        <v>63</v>
      </c>
      <c r="FF9">
        <v>15</v>
      </c>
      <c r="GJ9" s="1">
        <f t="shared" si="5"/>
        <v>15</v>
      </c>
      <c r="HO9" s="1">
        <f t="shared" si="6"/>
        <v>0</v>
      </c>
      <c r="IT9">
        <v>433</v>
      </c>
      <c r="IU9" s="1">
        <f t="shared" si="7"/>
        <v>433</v>
      </c>
      <c r="IV9" s="11">
        <f t="shared" si="8"/>
        <v>1193</v>
      </c>
    </row>
    <row r="10" ht="32.399999999999999" customHeight="1">
      <c r="A10" s="5" t="s">
        <v>24</v>
      </c>
      <c r="B10" s="2" t="s">
        <v>16</v>
      </c>
      <c r="C10" s="1">
        <v>43</v>
      </c>
      <c r="AH10" s="7">
        <f t="shared" ref="AH10:AH24" si="9">SUM(C10:AG10)</f>
        <v>43</v>
      </c>
      <c r="AI10" s="1">
        <v>8</v>
      </c>
      <c r="AK10" s="1">
        <v>8</v>
      </c>
      <c r="AL10" s="1">
        <v>8</v>
      </c>
      <c r="AX10">
        <v>15</v>
      </c>
      <c r="BD10">
        <v>5</v>
      </c>
      <c r="BE10">
        <v>5</v>
      </c>
      <c r="BF10">
        <v>5</v>
      </c>
      <c r="BG10">
        <v>25</v>
      </c>
      <c r="BH10">
        <v>7</v>
      </c>
      <c r="BK10">
        <v>7</v>
      </c>
      <c r="BL10">
        <v>18</v>
      </c>
      <c r="BM10" s="1">
        <f t="shared" ref="BM10:BM24" si="10">SUM(AI10:BL10)</f>
        <v>111</v>
      </c>
      <c r="BN10">
        <v>12</v>
      </c>
      <c r="BO10">
        <v>4</v>
      </c>
      <c r="BT10">
        <v>6</v>
      </c>
      <c r="BU10">
        <v>6</v>
      </c>
      <c r="CA10">
        <v>6</v>
      </c>
      <c r="CB10">
        <v>6</v>
      </c>
      <c r="CN10">
        <v>9</v>
      </c>
      <c r="CO10">
        <v>6</v>
      </c>
      <c r="CS10" s="1">
        <f t="shared" ref="CS10:CS24" si="11">SUM(BN10:CR10)</f>
        <v>55</v>
      </c>
      <c r="DK10">
        <v>7</v>
      </c>
      <c r="DL10">
        <v>7</v>
      </c>
      <c r="DN10">
        <v>3</v>
      </c>
      <c r="DQ10">
        <v>6</v>
      </c>
      <c r="DR10">
        <v>11</v>
      </c>
      <c r="DS10">
        <v>4</v>
      </c>
      <c r="DT10">
        <v>10</v>
      </c>
      <c r="DY10" s="1">
        <f t="shared" ref="DY10:DY24" si="12">SUM(CT10:DX10)</f>
        <v>48</v>
      </c>
      <c r="EB10">
        <v>11</v>
      </c>
      <c r="EN10">
        <v>6</v>
      </c>
      <c r="EQ10">
        <v>5</v>
      </c>
      <c r="FD10" s="1">
        <f t="shared" ref="FD10:FD24" si="13">SUM(DZ10:FC10)</f>
        <v>22</v>
      </c>
      <c r="GJ10" s="1">
        <f t="shared" ref="GJ10:GJ24" si="14">SUM(FE10:GI10)</f>
        <v>0</v>
      </c>
      <c r="HO10" s="1">
        <f t="shared" ref="HO10:HO24" si="15">SUM(GK10:HN10)</f>
        <v>0</v>
      </c>
      <c r="IT10">
        <v>409</v>
      </c>
      <c r="IU10" s="1">
        <f t="shared" ref="IU10:IU24" si="16">SUM(HP10:IT10)</f>
        <v>409</v>
      </c>
      <c r="IV10" s="11">
        <f t="shared" ref="IV10:IV24" si="17">SUM(AH10,BM10,CS10,DY10,FD10,GJ10,HO10,IU10)</f>
        <v>688</v>
      </c>
    </row>
    <row r="11" ht="32.399999999999999" customHeight="1">
      <c r="A11" s="5" t="s">
        <v>25</v>
      </c>
      <c r="B11" s="2" t="s">
        <v>16</v>
      </c>
      <c r="AH11" s="7">
        <f t="shared" si="9"/>
        <v>0</v>
      </c>
      <c r="BM11" s="1">
        <f t="shared" si="10"/>
        <v>0</v>
      </c>
      <c r="CS11" s="1">
        <f t="shared" si="11"/>
        <v>0</v>
      </c>
      <c r="DY11" s="1">
        <f t="shared" si="12"/>
        <v>0</v>
      </c>
      <c r="FD11" s="1">
        <f t="shared" si="13"/>
        <v>0</v>
      </c>
      <c r="GJ11" s="1">
        <f t="shared" si="14"/>
        <v>0</v>
      </c>
      <c r="HO11" s="1">
        <f t="shared" si="15"/>
        <v>0</v>
      </c>
      <c r="IT11">
        <v>220</v>
      </c>
      <c r="IU11" s="1">
        <f t="shared" si="16"/>
        <v>220</v>
      </c>
      <c r="IV11" s="11">
        <f t="shared" si="17"/>
        <v>220</v>
      </c>
    </row>
    <row r="12" ht="32.399999999999999" customHeight="1">
      <c r="A12" s="5" t="s">
        <v>26</v>
      </c>
      <c r="B12" s="2" t="s">
        <v>16</v>
      </c>
      <c r="AH12" s="7">
        <f t="shared" si="9"/>
        <v>0</v>
      </c>
      <c r="BM12" s="1">
        <f t="shared" si="10"/>
        <v>0</v>
      </c>
      <c r="CS12" s="1">
        <f t="shared" si="11"/>
        <v>0</v>
      </c>
      <c r="DY12" s="1">
        <f t="shared" si="12"/>
        <v>0</v>
      </c>
      <c r="FD12" s="1">
        <f t="shared" si="13"/>
        <v>0</v>
      </c>
      <c r="GJ12" s="1">
        <f t="shared" si="14"/>
        <v>0</v>
      </c>
      <c r="HO12" s="1">
        <f t="shared" si="15"/>
        <v>0</v>
      </c>
      <c r="IT12">
        <v>6</v>
      </c>
      <c r="IU12" s="1">
        <f t="shared" si="16"/>
        <v>6</v>
      </c>
      <c r="IV12" s="11">
        <f t="shared" si="17"/>
        <v>6</v>
      </c>
    </row>
    <row r="13" ht="32.399999999999999" customHeight="1">
      <c r="A13" s="5" t="s">
        <v>27</v>
      </c>
      <c r="B13" s="2" t="s">
        <v>16</v>
      </c>
      <c r="AH13" s="7">
        <f t="shared" si="9"/>
        <v>0</v>
      </c>
      <c r="BM13" s="1">
        <f t="shared" si="10"/>
        <v>0</v>
      </c>
      <c r="CS13" s="1">
        <f t="shared" si="11"/>
        <v>0</v>
      </c>
      <c r="DY13" s="1">
        <f t="shared" si="12"/>
        <v>0</v>
      </c>
      <c r="FD13" s="1">
        <f t="shared" si="13"/>
        <v>0</v>
      </c>
      <c r="GJ13" s="1">
        <f t="shared" si="14"/>
        <v>0</v>
      </c>
      <c r="HO13" s="1">
        <f t="shared" si="15"/>
        <v>0</v>
      </c>
      <c r="IT13">
        <v>156</v>
      </c>
      <c r="IU13" s="1">
        <f t="shared" si="16"/>
        <v>156</v>
      </c>
      <c r="IV13" s="11">
        <f t="shared" si="17"/>
        <v>156</v>
      </c>
    </row>
    <row r="14" ht="32.399999999999999" customHeight="1">
      <c r="A14" s="5" t="s">
        <v>28</v>
      </c>
      <c r="B14" s="2" t="s">
        <v>16</v>
      </c>
      <c r="AH14" s="7">
        <f t="shared" si="9"/>
        <v>0</v>
      </c>
      <c r="BM14" s="1">
        <f t="shared" si="10"/>
        <v>0</v>
      </c>
      <c r="CS14" s="1">
        <f t="shared" si="11"/>
        <v>0</v>
      </c>
      <c r="DY14" s="1">
        <f t="shared" si="12"/>
        <v>0</v>
      </c>
      <c r="FD14" s="1">
        <f t="shared" si="13"/>
        <v>0</v>
      </c>
      <c r="GJ14" s="1">
        <f t="shared" si="14"/>
        <v>0</v>
      </c>
      <c r="HO14" s="1">
        <f t="shared" si="15"/>
        <v>0</v>
      </c>
      <c r="IT14">
        <v>108</v>
      </c>
      <c r="IU14" s="1">
        <f t="shared" si="16"/>
        <v>108</v>
      </c>
      <c r="IV14" s="11">
        <f t="shared" si="17"/>
        <v>108</v>
      </c>
    </row>
    <row r="15" ht="32.399999999999999" customHeight="1">
      <c r="A15" s="5" t="s">
        <v>29</v>
      </c>
      <c r="B15" s="2" t="s">
        <v>16</v>
      </c>
      <c r="AH15" s="7">
        <f t="shared" si="9"/>
        <v>0</v>
      </c>
      <c r="BM15" s="1">
        <f t="shared" si="10"/>
        <v>0</v>
      </c>
      <c r="BN15">
        <v>2</v>
      </c>
      <c r="BO15">
        <v>1</v>
      </c>
      <c r="BT15">
        <v>1</v>
      </c>
      <c r="BU15">
        <v>1</v>
      </c>
      <c r="CA15">
        <v>1</v>
      </c>
      <c r="CB15">
        <v>1</v>
      </c>
      <c r="CN15">
        <v>26</v>
      </c>
      <c r="CO15">
        <v>32</v>
      </c>
      <c r="CS15" s="1">
        <f t="shared" si="11"/>
        <v>65</v>
      </c>
      <c r="CX15">
        <v>1</v>
      </c>
      <c r="DC15">
        <v>43</v>
      </c>
      <c r="DD15">
        <v>40</v>
      </c>
      <c r="DE15">
        <v>75</v>
      </c>
      <c r="DF15">
        <v>102</v>
      </c>
      <c r="DG15">
        <v>17</v>
      </c>
      <c r="DJ15">
        <v>70</v>
      </c>
      <c r="DK15">
        <v>9</v>
      </c>
      <c r="DL15">
        <v>12</v>
      </c>
      <c r="DM15">
        <v>65</v>
      </c>
      <c r="DN15">
        <v>43</v>
      </c>
      <c r="DQ15">
        <v>1</v>
      </c>
      <c r="DR15">
        <v>2</v>
      </c>
      <c r="DS15">
        <v>2</v>
      </c>
      <c r="DT15">
        <v>5</v>
      </c>
      <c r="DU15">
        <v>27</v>
      </c>
      <c r="DX15">
        <v>53</v>
      </c>
      <c r="DY15" s="1">
        <f t="shared" si="12"/>
        <v>567</v>
      </c>
      <c r="DZ15">
        <v>45</v>
      </c>
      <c r="EA15">
        <v>48</v>
      </c>
      <c r="EB15">
        <v>9</v>
      </c>
      <c r="EC15">
        <v>41</v>
      </c>
      <c r="EF15">
        <v>47</v>
      </c>
      <c r="EG15">
        <v>26</v>
      </c>
      <c r="EH15">
        <v>51</v>
      </c>
      <c r="EI15">
        <v>43</v>
      </c>
      <c r="EJ15">
        <v>28</v>
      </c>
      <c r="EM15">
        <v>45</v>
      </c>
      <c r="EN15">
        <v>33</v>
      </c>
      <c r="EO15">
        <v>59</v>
      </c>
      <c r="EP15">
        <v>53</v>
      </c>
      <c r="EQ15">
        <v>2</v>
      </c>
      <c r="FD15" s="1">
        <f t="shared" si="13"/>
        <v>530</v>
      </c>
      <c r="FE15">
        <v>45</v>
      </c>
      <c r="GJ15" s="1">
        <f t="shared" si="14"/>
        <v>45</v>
      </c>
      <c r="HO15" s="1">
        <f t="shared" si="15"/>
        <v>0</v>
      </c>
      <c r="IT15">
        <v>750</v>
      </c>
      <c r="IU15" s="1">
        <f t="shared" si="16"/>
        <v>750</v>
      </c>
      <c r="IV15" s="11">
        <f t="shared" si="17"/>
        <v>1957</v>
      </c>
    </row>
    <row r="16" ht="32.399999999999999" customHeight="1">
      <c r="A16" s="5" t="s">
        <v>30</v>
      </c>
      <c r="B16" s="2" t="s">
        <v>22</v>
      </c>
      <c r="AH16" s="7">
        <f t="shared" si="9"/>
        <v>0</v>
      </c>
      <c r="BM16" s="1">
        <f t="shared" si="10"/>
        <v>0</v>
      </c>
      <c r="CS16" s="1">
        <f t="shared" si="11"/>
        <v>0</v>
      </c>
      <c r="DY16" s="1">
        <f t="shared" si="12"/>
        <v>0</v>
      </c>
      <c r="FD16" s="1">
        <f t="shared" si="13"/>
        <v>0</v>
      </c>
      <c r="GJ16" s="1">
        <f t="shared" si="14"/>
        <v>0</v>
      </c>
      <c r="HO16" s="1">
        <f t="shared" si="15"/>
        <v>0</v>
      </c>
      <c r="IU16" s="1">
        <f t="shared" si="16"/>
        <v>0</v>
      </c>
      <c r="IV16" s="11">
        <f t="shared" si="17"/>
        <v>0</v>
      </c>
    </row>
    <row r="17" ht="32.399999999999999" customHeight="1">
      <c r="A17" s="5" t="s">
        <v>31</v>
      </c>
      <c r="B17" s="2" t="s">
        <v>16</v>
      </c>
      <c r="C17" s="1">
        <v>23</v>
      </c>
      <c r="AH17" s="7">
        <f t="shared" si="9"/>
        <v>23</v>
      </c>
      <c r="AI17" s="1">
        <v>3</v>
      </c>
      <c r="AJ17" s="1">
        <v>12</v>
      </c>
      <c r="AL17" s="1">
        <v>1</v>
      </c>
      <c r="BM17" s="1">
        <f t="shared" si="10"/>
        <v>16</v>
      </c>
      <c r="IV17" s="11">
        <f t="shared" si="17"/>
        <v>39</v>
      </c>
    </row>
    <row r="18" ht="32.399999999999999" customHeight="1">
      <c r="A18" s="5" t="s">
        <v>32</v>
      </c>
      <c r="B18" s="2" t="s">
        <v>16</v>
      </c>
      <c r="C18" s="1"/>
      <c r="AH18" s="7">
        <f t="shared" si="9"/>
        <v>0</v>
      </c>
      <c r="AL18">
        <v>16</v>
      </c>
      <c r="AM18">
        <v>27</v>
      </c>
      <c r="AP18">
        <v>37</v>
      </c>
      <c r="AQ18">
        <v>50</v>
      </c>
      <c r="AR18">
        <v>41</v>
      </c>
      <c r="AS18">
        <v>53</v>
      </c>
      <c r="AT18">
        <v>39</v>
      </c>
      <c r="AW18">
        <v>49</v>
      </c>
      <c r="AY18">
        <v>13</v>
      </c>
      <c r="AZ18">
        <v>18</v>
      </c>
      <c r="BA18">
        <v>25</v>
      </c>
      <c r="BD18">
        <v>13</v>
      </c>
      <c r="BE18">
        <v>12</v>
      </c>
      <c r="BF18">
        <v>70</v>
      </c>
      <c r="BM18" s="1">
        <f t="shared" si="10"/>
        <v>463</v>
      </c>
      <c r="BO18">
        <v>15</v>
      </c>
      <c r="BS18">
        <v>33</v>
      </c>
      <c r="BT18">
        <v>19</v>
      </c>
      <c r="BU18">
        <v>28</v>
      </c>
      <c r="BV18">
        <v>45</v>
      </c>
      <c r="BW18">
        <v>41</v>
      </c>
      <c r="BZ18">
        <v>39</v>
      </c>
      <c r="CA18">
        <v>17</v>
      </c>
      <c r="CB18">
        <v>23</v>
      </c>
      <c r="CC18">
        <v>180</v>
      </c>
      <c r="CD18">
        <v>100</v>
      </c>
      <c r="CG18">
        <v>21</v>
      </c>
      <c r="CH18">
        <v>35</v>
      </c>
      <c r="CI18">
        <v>153</v>
      </c>
      <c r="CJ18">
        <v>61</v>
      </c>
      <c r="CK18">
        <v>46</v>
      </c>
      <c r="CN18">
        <v>59</v>
      </c>
      <c r="CP18">
        <v>320</v>
      </c>
      <c r="CQ18">
        <v>257</v>
      </c>
      <c r="CR18">
        <v>243</v>
      </c>
      <c r="CS18" s="1">
        <f t="shared" si="11"/>
        <v>1735</v>
      </c>
      <c r="CW18">
        <v>598</v>
      </c>
      <c r="CZ18">
        <v>15</v>
      </c>
      <c r="DC18">
        <v>21</v>
      </c>
      <c r="DD18">
        <v>10</v>
      </c>
      <c r="DJ18">
        <v>5</v>
      </c>
      <c r="DQ18">
        <v>8</v>
      </c>
      <c r="DU18">
        <v>9</v>
      </c>
      <c r="DX18">
        <v>5</v>
      </c>
      <c r="DY18" s="1">
        <f t="shared" si="12"/>
        <v>671</v>
      </c>
      <c r="DZ18">
        <v>7</v>
      </c>
      <c r="EA18">
        <v>8</v>
      </c>
      <c r="EI18">
        <v>5</v>
      </c>
      <c r="EJ18">
        <v>10</v>
      </c>
      <c r="FD18" s="1">
        <f t="shared" si="13"/>
        <v>30</v>
      </c>
      <c r="FE18">
        <v>15</v>
      </c>
      <c r="FF18">
        <v>20</v>
      </c>
      <c r="GJ18" s="1">
        <f t="shared" si="14"/>
        <v>35</v>
      </c>
      <c r="HO18" s="1">
        <f t="shared" si="15"/>
        <v>0</v>
      </c>
      <c r="IU18" s="1">
        <f t="shared" si="16"/>
        <v>0</v>
      </c>
      <c r="IV18" s="11">
        <f t="shared" si="17"/>
        <v>2934</v>
      </c>
    </row>
    <row r="19" ht="32.399999999999999" customHeight="1">
      <c r="A19" s="5" t="s">
        <v>33</v>
      </c>
      <c r="B19" s="2" t="s">
        <v>16</v>
      </c>
      <c r="AH19" s="7">
        <f t="shared" si="9"/>
        <v>0</v>
      </c>
      <c r="BM19" s="1">
        <f t="shared" si="10"/>
        <v>0</v>
      </c>
      <c r="CS19" s="1">
        <f t="shared" si="11"/>
        <v>0</v>
      </c>
      <c r="CY19">
        <v>2</v>
      </c>
      <c r="DY19" s="1">
        <f t="shared" si="12"/>
        <v>2</v>
      </c>
      <c r="FD19" s="1">
        <f t="shared" si="13"/>
        <v>0</v>
      </c>
      <c r="FE19">
        <v>1</v>
      </c>
      <c r="FF19">
        <v>1</v>
      </c>
      <c r="FI19">
        <v>2</v>
      </c>
      <c r="GJ19" s="1">
        <f t="shared" si="14"/>
        <v>4</v>
      </c>
      <c r="HO19" s="1">
        <f t="shared" si="15"/>
        <v>0</v>
      </c>
      <c r="IU19" s="1">
        <f t="shared" si="16"/>
        <v>0</v>
      </c>
      <c r="IV19" s="11">
        <f t="shared" si="17"/>
        <v>6</v>
      </c>
    </row>
    <row r="20" ht="32.399999999999999" customHeight="1">
      <c r="A20" s="5" t="s">
        <v>34</v>
      </c>
      <c r="B20" s="2" t="s">
        <v>16</v>
      </c>
      <c r="AH20" s="7">
        <f t="shared" si="9"/>
        <v>0</v>
      </c>
      <c r="BM20" s="1">
        <f t="shared" si="10"/>
        <v>0</v>
      </c>
      <c r="CS20" s="1">
        <f t="shared" si="11"/>
        <v>0</v>
      </c>
      <c r="CY20">
        <v>2</v>
      </c>
      <c r="DY20" s="1">
        <f t="shared" si="12"/>
        <v>2</v>
      </c>
      <c r="FD20" s="1">
        <f t="shared" si="13"/>
        <v>0</v>
      </c>
      <c r="FE20">
        <v>1</v>
      </c>
      <c r="FF20">
        <v>1</v>
      </c>
      <c r="FI20">
        <v>2</v>
      </c>
      <c r="GJ20" s="1">
        <f t="shared" si="14"/>
        <v>4</v>
      </c>
      <c r="HO20" s="1">
        <f t="shared" si="15"/>
        <v>0</v>
      </c>
      <c r="IU20" s="1">
        <f t="shared" si="16"/>
        <v>0</v>
      </c>
      <c r="IV20" s="11">
        <f t="shared" si="17"/>
        <v>6</v>
      </c>
    </row>
    <row r="21" ht="32.399999999999999" customHeight="1">
      <c r="A21" s="5" t="s">
        <v>35</v>
      </c>
      <c r="B21" s="2" t="s">
        <v>16</v>
      </c>
      <c r="AH21" s="7">
        <f t="shared" si="9"/>
        <v>0</v>
      </c>
      <c r="BM21" s="1">
        <f t="shared" si="10"/>
        <v>0</v>
      </c>
      <c r="CS21" s="1">
        <f t="shared" si="11"/>
        <v>0</v>
      </c>
      <c r="DY21" s="1">
        <f t="shared" si="12"/>
        <v>0</v>
      </c>
      <c r="FD21" s="1">
        <f t="shared" si="13"/>
        <v>0</v>
      </c>
      <c r="GJ21" s="1">
        <f t="shared" si="14"/>
        <v>0</v>
      </c>
      <c r="HO21" s="1">
        <f t="shared" si="15"/>
        <v>0</v>
      </c>
      <c r="IU21" s="1">
        <f t="shared" si="16"/>
        <v>0</v>
      </c>
      <c r="IV21" s="11">
        <f t="shared" si="17"/>
        <v>0</v>
      </c>
    </row>
    <row r="22" ht="32.399999999999999" customHeight="1">
      <c r="A22" s="5" t="s">
        <v>36</v>
      </c>
      <c r="B22" s="2" t="s">
        <v>16</v>
      </c>
      <c r="AH22" s="7">
        <f t="shared" si="9"/>
        <v>0</v>
      </c>
      <c r="BM22" s="1">
        <f t="shared" si="10"/>
        <v>0</v>
      </c>
      <c r="CC22">
        <v>210</v>
      </c>
      <c r="CD22">
        <v>200</v>
      </c>
      <c r="CS22" s="1">
        <f t="shared" si="11"/>
        <v>410</v>
      </c>
      <c r="CX22">
        <v>9</v>
      </c>
      <c r="CY22">
        <v>111</v>
      </c>
      <c r="CZ22">
        <v>47</v>
      </c>
      <c r="DC22">
        <v>29</v>
      </c>
      <c r="DD22">
        <v>8</v>
      </c>
      <c r="DY22" s="1">
        <f t="shared" si="12"/>
        <v>204</v>
      </c>
      <c r="FD22" s="1">
        <f t="shared" si="13"/>
        <v>0</v>
      </c>
      <c r="FF22">
        <v>81</v>
      </c>
      <c r="FI22">
        <v>55</v>
      </c>
      <c r="GJ22" s="1">
        <f t="shared" si="14"/>
        <v>136</v>
      </c>
      <c r="HO22" s="1">
        <f t="shared" si="15"/>
        <v>0</v>
      </c>
      <c r="IU22" s="1">
        <f t="shared" si="16"/>
        <v>0</v>
      </c>
      <c r="IV22" s="11">
        <f t="shared" si="17"/>
        <v>750</v>
      </c>
    </row>
    <row r="23" ht="32.399999999999999" customHeight="1">
      <c r="A23" s="5" t="s">
        <v>37</v>
      </c>
      <c r="B23" s="2" t="s">
        <v>16</v>
      </c>
      <c r="AH23" s="7">
        <f t="shared" si="9"/>
        <v>0</v>
      </c>
      <c r="AJ23" s="1">
        <v>1</v>
      </c>
      <c r="BM23" s="1">
        <f t="shared" si="10"/>
        <v>1</v>
      </c>
      <c r="CA23">
        <v>1</v>
      </c>
      <c r="CS23" s="1">
        <f t="shared" si="11"/>
        <v>1</v>
      </c>
      <c r="CX23">
        <v>1</v>
      </c>
      <c r="CY23">
        <v>1</v>
      </c>
      <c r="CZ23">
        <v>2</v>
      </c>
      <c r="DG23">
        <v>2</v>
      </c>
      <c r="DY23" s="1">
        <f t="shared" si="12"/>
        <v>6</v>
      </c>
      <c r="FD23" s="1">
        <f t="shared" si="13"/>
        <v>0</v>
      </c>
      <c r="GJ23" s="1">
        <f t="shared" si="14"/>
        <v>0</v>
      </c>
      <c r="HO23" s="1">
        <f t="shared" si="15"/>
        <v>0</v>
      </c>
      <c r="IU23" s="1">
        <f t="shared" si="16"/>
        <v>0</v>
      </c>
      <c r="IV23" s="11">
        <f t="shared" si="17"/>
        <v>8</v>
      </c>
    </row>
    <row r="24" ht="32.399999999999999" customHeight="1">
      <c r="A24" s="5" t="s">
        <v>38</v>
      </c>
      <c r="B24" s="2" t="s">
        <v>16</v>
      </c>
      <c r="AH24" s="7">
        <f t="shared" si="9"/>
        <v>0</v>
      </c>
      <c r="BM24" s="1">
        <f t="shared" si="10"/>
        <v>0</v>
      </c>
      <c r="CS24" s="1">
        <f t="shared" si="11"/>
        <v>0</v>
      </c>
      <c r="CY24">
        <v>110</v>
      </c>
      <c r="CZ24">
        <v>9</v>
      </c>
      <c r="DC24">
        <v>23</v>
      </c>
      <c r="DY24" s="1">
        <f t="shared" si="12"/>
        <v>142</v>
      </c>
      <c r="FD24" s="1">
        <f t="shared" si="13"/>
        <v>0</v>
      </c>
      <c r="FF24">
        <v>23</v>
      </c>
      <c r="FI24">
        <v>105</v>
      </c>
      <c r="GJ24" s="1">
        <f t="shared" si="14"/>
        <v>128</v>
      </c>
      <c r="HO24" s="1">
        <f t="shared" si="15"/>
        <v>0</v>
      </c>
      <c r="IU24" s="1">
        <f t="shared" si="16"/>
        <v>0</v>
      </c>
      <c r="IV24" s="11">
        <f t="shared" si="17"/>
        <v>270</v>
      </c>
    </row>
    <row r="25" ht="13.5">
      <c r="AL25">
        <v>22</v>
      </c>
    </row>
    <row r="39" ht="12.800000000000001">
      <c r="CS39" s="13"/>
    </row>
    <row r="87" ht="14.25">
      <c r="B87" s="14"/>
    </row>
    <row r="88" ht="14.25">
      <c r="B88" s="14"/>
    </row>
    <row r="89" ht="14.25">
      <c r="B89" s="14"/>
    </row>
    <row r="90" ht="14.25">
      <c r="B90" s="14"/>
    </row>
    <row r="91" ht="14.25">
      <c r="B91" s="14"/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&amp;C&amp;12&amp;A</oddHeader>
    <oddFooter>&amp;C&amp;12Страница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3" zoomScale="100" workbookViewId="0">
      <pane xSplit="1" topLeftCell="B1" activePane="topRight" state="frozen"/>
      <selection activeCell="C3" activeCellId="0" sqref="C3"/>
    </sheetView>
  </sheetViews>
  <sheetFormatPr defaultColWidth="12.67578125" defaultRowHeight="13.5"/>
  <cols>
    <col customWidth="1" min="1" max="1" style="1" width="48.00390625"/>
    <col customWidth="1" min="2" max="2" style="1" width="38.140000000000001"/>
    <col customWidth="0" hidden="1" min="3" max="34" style="1" width="12.67"/>
    <col customWidth="1" hidden="1" min="65" max="65" style="1" width="0"/>
    <col customWidth="0" hidden="1" min="97" max="97" style="1" width="12.67"/>
    <col customWidth="0" hidden="1" min="129" max="129" style="1" width="12.67"/>
    <col customWidth="0" hidden="1" min="160" max="160" style="1" width="12.67"/>
    <col customWidth="0" hidden="1" min="192" max="192" style="1" width="12.67"/>
    <col customWidth="0" hidden="1" min="223" max="223" style="1" width="12.67"/>
    <col customWidth="0" hidden="1" min="255" max="255" style="1" width="12.67"/>
  </cols>
  <sheetData>
    <row r="1" ht="34.200000000000003" customHeight="1">
      <c r="A1" s="2" t="s">
        <v>0</v>
      </c>
      <c r="B1" s="2" t="s">
        <v>1</v>
      </c>
      <c r="C1" s="3">
        <v>46143</v>
      </c>
      <c r="D1" s="3">
        <v>46144</v>
      </c>
      <c r="E1" s="3">
        <v>46145</v>
      </c>
      <c r="F1" s="3">
        <v>46146</v>
      </c>
      <c r="G1" s="3">
        <v>46147</v>
      </c>
      <c r="H1" s="3">
        <v>46148</v>
      </c>
      <c r="I1" s="3">
        <v>46149</v>
      </c>
      <c r="J1" s="3">
        <v>46150</v>
      </c>
      <c r="K1" s="3">
        <v>46151</v>
      </c>
      <c r="L1" s="3">
        <v>46152</v>
      </c>
      <c r="M1" s="3">
        <v>46153</v>
      </c>
      <c r="N1" s="3">
        <v>46154</v>
      </c>
      <c r="O1" s="3">
        <v>46155</v>
      </c>
      <c r="P1" s="3">
        <v>46156</v>
      </c>
      <c r="Q1" s="3">
        <v>46157</v>
      </c>
      <c r="R1" s="3">
        <v>46158</v>
      </c>
      <c r="S1" s="3">
        <v>46159</v>
      </c>
      <c r="T1" s="3">
        <v>46160</v>
      </c>
      <c r="U1" s="3">
        <v>46161</v>
      </c>
      <c r="V1" s="3">
        <v>46162</v>
      </c>
      <c r="W1" s="3">
        <v>46163</v>
      </c>
      <c r="X1" s="3">
        <v>46164</v>
      </c>
      <c r="Y1" s="3">
        <v>46165</v>
      </c>
      <c r="Z1" s="3">
        <v>46166</v>
      </c>
      <c r="AA1" s="3">
        <v>46167</v>
      </c>
      <c r="AB1" s="3">
        <v>46168</v>
      </c>
      <c r="AC1" s="3">
        <v>46169</v>
      </c>
      <c r="AD1" s="3">
        <v>46170</v>
      </c>
      <c r="AE1" s="3">
        <v>46171</v>
      </c>
      <c r="AF1" s="3">
        <v>46172</v>
      </c>
      <c r="AG1" s="3">
        <v>46173</v>
      </c>
      <c r="AH1" s="3" t="s">
        <v>2</v>
      </c>
      <c r="AI1" s="3">
        <v>46174</v>
      </c>
      <c r="AJ1" s="3">
        <v>46175</v>
      </c>
      <c r="AK1" s="3">
        <v>46176</v>
      </c>
      <c r="AL1" s="3">
        <v>46177</v>
      </c>
      <c r="AM1" s="3">
        <v>46178</v>
      </c>
      <c r="AN1" s="3">
        <v>46179</v>
      </c>
      <c r="AO1" s="3">
        <v>46180</v>
      </c>
      <c r="AP1" s="3">
        <v>46181</v>
      </c>
      <c r="AQ1" s="3">
        <v>46182</v>
      </c>
      <c r="AR1" s="3">
        <v>46183</v>
      </c>
      <c r="AS1" s="3">
        <v>46184</v>
      </c>
      <c r="AT1" s="3">
        <v>46185</v>
      </c>
      <c r="AU1" s="3">
        <v>46186</v>
      </c>
      <c r="AV1" s="3">
        <v>46187</v>
      </c>
      <c r="AW1" s="3">
        <v>46188</v>
      </c>
      <c r="AX1" s="3">
        <v>46189</v>
      </c>
      <c r="AY1" s="3">
        <v>46190</v>
      </c>
      <c r="AZ1" s="3">
        <v>46191</v>
      </c>
      <c r="BA1" s="3">
        <v>46192</v>
      </c>
      <c r="BB1" s="3">
        <v>46193</v>
      </c>
      <c r="BC1" s="3">
        <v>46194</v>
      </c>
      <c r="BD1" s="3">
        <v>46195</v>
      </c>
      <c r="BE1" s="3">
        <v>46196</v>
      </c>
      <c r="BF1" s="3">
        <v>46197</v>
      </c>
      <c r="BG1" s="3">
        <v>46198</v>
      </c>
      <c r="BH1" s="3">
        <v>46199</v>
      </c>
      <c r="BI1" s="3">
        <v>46200</v>
      </c>
      <c r="BJ1" s="3">
        <v>46201</v>
      </c>
      <c r="BK1" s="3">
        <v>46202</v>
      </c>
      <c r="BL1" s="3">
        <v>46203</v>
      </c>
      <c r="BM1" s="3" t="s">
        <v>3</v>
      </c>
      <c r="BN1" s="3">
        <v>46204</v>
      </c>
      <c r="BO1" s="3">
        <v>46205</v>
      </c>
      <c r="BP1" s="3">
        <v>46206</v>
      </c>
      <c r="BQ1" s="3">
        <v>46207</v>
      </c>
      <c r="BR1" s="3">
        <v>46208</v>
      </c>
      <c r="BS1" s="3">
        <v>46209</v>
      </c>
      <c r="BT1" s="3">
        <v>46210</v>
      </c>
      <c r="BU1" s="3">
        <v>46211</v>
      </c>
      <c r="BV1" s="3">
        <v>46212</v>
      </c>
      <c r="BW1" s="3">
        <v>46213</v>
      </c>
      <c r="BX1" s="3">
        <v>46214</v>
      </c>
      <c r="BY1" s="3">
        <v>46215</v>
      </c>
      <c r="BZ1" s="3">
        <v>46216</v>
      </c>
      <c r="CA1" s="3">
        <v>46217</v>
      </c>
      <c r="CB1" s="3">
        <v>46218</v>
      </c>
      <c r="CC1" s="3">
        <v>46219</v>
      </c>
      <c r="CD1" s="3">
        <v>46220</v>
      </c>
      <c r="CE1" s="3">
        <v>46221</v>
      </c>
      <c r="CF1" s="3">
        <v>46222</v>
      </c>
      <c r="CG1" s="3">
        <v>46223</v>
      </c>
      <c r="CH1" s="3">
        <v>46224</v>
      </c>
      <c r="CI1" s="3">
        <v>46225</v>
      </c>
      <c r="CJ1" s="3">
        <v>46226</v>
      </c>
      <c r="CK1" s="3">
        <v>46227</v>
      </c>
      <c r="CL1" s="3">
        <v>46228</v>
      </c>
      <c r="CM1" s="3">
        <v>46229</v>
      </c>
      <c r="CN1" s="3">
        <v>46230</v>
      </c>
      <c r="CO1" s="3">
        <v>46231</v>
      </c>
      <c r="CP1" s="3">
        <v>46232</v>
      </c>
      <c r="CQ1" s="3">
        <v>46233</v>
      </c>
      <c r="CR1" s="3">
        <v>46234</v>
      </c>
      <c r="CS1" s="3" t="s">
        <v>4</v>
      </c>
      <c r="CT1" s="3">
        <v>46235</v>
      </c>
      <c r="CU1" s="3">
        <v>46236</v>
      </c>
      <c r="CV1" s="3">
        <v>46237</v>
      </c>
      <c r="CW1" s="3">
        <v>46238</v>
      </c>
      <c r="CX1" s="3">
        <v>46239</v>
      </c>
      <c r="CY1" s="3">
        <v>46240</v>
      </c>
      <c r="CZ1" s="3">
        <v>46241</v>
      </c>
      <c r="DA1" s="3">
        <v>46242</v>
      </c>
      <c r="DB1" s="3">
        <v>46243</v>
      </c>
      <c r="DC1" s="3">
        <v>46244</v>
      </c>
      <c r="DD1" s="3">
        <v>46245</v>
      </c>
      <c r="DE1" s="3">
        <v>46246</v>
      </c>
      <c r="DF1" s="3">
        <v>46247</v>
      </c>
      <c r="DG1" s="3">
        <v>46248</v>
      </c>
      <c r="DH1" s="3">
        <v>46249</v>
      </c>
      <c r="DI1" s="3">
        <v>46250</v>
      </c>
      <c r="DJ1" s="3">
        <v>46251</v>
      </c>
      <c r="DK1" s="3">
        <v>46252</v>
      </c>
      <c r="DL1" s="3">
        <v>46253</v>
      </c>
      <c r="DM1" s="3">
        <v>46254</v>
      </c>
      <c r="DN1" s="3">
        <v>46255</v>
      </c>
      <c r="DO1" s="3">
        <v>46256</v>
      </c>
      <c r="DP1" s="3">
        <v>46257</v>
      </c>
      <c r="DQ1" s="3">
        <v>46258</v>
      </c>
      <c r="DR1" s="3">
        <v>46259</v>
      </c>
      <c r="DS1" s="3">
        <v>46260</v>
      </c>
      <c r="DT1" s="3">
        <v>46261</v>
      </c>
      <c r="DU1" s="3">
        <v>46262</v>
      </c>
      <c r="DV1" s="3">
        <v>46263</v>
      </c>
      <c r="DW1" s="3">
        <v>46264</v>
      </c>
      <c r="DX1" s="3">
        <v>46265</v>
      </c>
      <c r="DY1" s="3" t="s">
        <v>5</v>
      </c>
      <c r="DZ1" s="3">
        <v>46266</v>
      </c>
      <c r="EA1" s="3">
        <v>46267</v>
      </c>
      <c r="EB1" s="3">
        <v>46268</v>
      </c>
      <c r="EC1" s="3">
        <v>46269</v>
      </c>
      <c r="ED1" s="3">
        <v>46270</v>
      </c>
      <c r="EE1" s="3">
        <v>46271</v>
      </c>
      <c r="EF1" s="3">
        <v>46272</v>
      </c>
      <c r="EG1" s="3">
        <v>46273</v>
      </c>
      <c r="EH1" s="3">
        <v>46274</v>
      </c>
      <c r="EI1" s="3">
        <v>46275</v>
      </c>
      <c r="EJ1" s="3">
        <v>46276</v>
      </c>
      <c r="EK1" s="3">
        <v>46277</v>
      </c>
      <c r="EL1" s="3">
        <v>46278</v>
      </c>
      <c r="EM1" s="3">
        <v>46279</v>
      </c>
      <c r="EN1" s="3">
        <v>46280</v>
      </c>
      <c r="EO1" s="3">
        <v>46281</v>
      </c>
      <c r="EP1" s="3">
        <v>46282</v>
      </c>
      <c r="EQ1" s="3">
        <v>46283</v>
      </c>
      <c r="ER1" s="3">
        <v>46284</v>
      </c>
      <c r="ES1" s="3">
        <v>46285</v>
      </c>
      <c r="ET1" s="3">
        <v>46286</v>
      </c>
      <c r="EU1" s="3">
        <v>46287</v>
      </c>
      <c r="EV1" s="3">
        <v>46288</v>
      </c>
      <c r="EW1" s="3">
        <v>46289</v>
      </c>
      <c r="EX1" s="3">
        <v>46290</v>
      </c>
      <c r="EY1" s="3">
        <v>46291</v>
      </c>
      <c r="EZ1" s="3">
        <v>46292</v>
      </c>
      <c r="FA1" s="3">
        <v>46293</v>
      </c>
      <c r="FB1" s="3">
        <v>46294</v>
      </c>
      <c r="FC1" s="3">
        <v>46295</v>
      </c>
      <c r="FD1" s="3" t="s">
        <v>6</v>
      </c>
      <c r="FE1" s="3">
        <v>46296</v>
      </c>
      <c r="FF1" s="3">
        <v>46297</v>
      </c>
      <c r="FG1" s="3">
        <v>46298</v>
      </c>
      <c r="FH1" s="3">
        <v>46299</v>
      </c>
      <c r="FI1" s="3">
        <v>46300</v>
      </c>
      <c r="FJ1" s="3">
        <v>46301</v>
      </c>
      <c r="FK1" s="3">
        <v>46302</v>
      </c>
      <c r="FL1" s="3">
        <v>46303</v>
      </c>
      <c r="FM1" s="3">
        <v>46304</v>
      </c>
      <c r="FN1" s="3">
        <v>46305</v>
      </c>
      <c r="FO1" s="3">
        <v>46306</v>
      </c>
      <c r="FP1" s="3">
        <v>46307</v>
      </c>
      <c r="FQ1" s="3">
        <v>46308</v>
      </c>
      <c r="FR1" s="3">
        <v>46309</v>
      </c>
      <c r="FS1" s="3">
        <v>46310</v>
      </c>
      <c r="FT1" s="3">
        <v>46311</v>
      </c>
      <c r="FU1" s="3">
        <v>46312</v>
      </c>
      <c r="FV1" s="3">
        <v>46313</v>
      </c>
      <c r="FW1" s="3">
        <v>46314</v>
      </c>
      <c r="FX1" s="3">
        <v>46315</v>
      </c>
      <c r="FY1" s="3">
        <v>46316</v>
      </c>
      <c r="FZ1" s="3">
        <v>46317</v>
      </c>
      <c r="GA1" s="3">
        <v>46318</v>
      </c>
      <c r="GB1" s="3">
        <v>46319</v>
      </c>
      <c r="GC1" s="3">
        <v>46320</v>
      </c>
      <c r="GD1" s="3">
        <v>46321</v>
      </c>
      <c r="GE1" s="3">
        <v>46322</v>
      </c>
      <c r="GF1" s="3">
        <v>46323</v>
      </c>
      <c r="GG1" s="3">
        <v>46324</v>
      </c>
      <c r="GH1" s="3">
        <v>46325</v>
      </c>
      <c r="GI1" s="3">
        <v>46326</v>
      </c>
      <c r="GJ1" s="3" t="s">
        <v>7</v>
      </c>
      <c r="GK1" s="3">
        <v>46327</v>
      </c>
      <c r="GL1" s="3">
        <v>46328</v>
      </c>
      <c r="GM1" s="3">
        <v>46329</v>
      </c>
      <c r="GN1" s="3">
        <v>46330</v>
      </c>
      <c r="GO1" s="3">
        <v>46331</v>
      </c>
      <c r="GP1" s="3">
        <v>46332</v>
      </c>
      <c r="GQ1" s="3">
        <v>46333</v>
      </c>
      <c r="GR1" s="3">
        <v>46334</v>
      </c>
      <c r="GS1" s="3">
        <v>46335</v>
      </c>
      <c r="GT1" s="3">
        <v>46336</v>
      </c>
      <c r="GU1" s="3">
        <v>46337</v>
      </c>
      <c r="GV1" s="3">
        <v>46338</v>
      </c>
      <c r="GW1" s="3">
        <v>46339</v>
      </c>
      <c r="GX1" s="3">
        <v>46340</v>
      </c>
      <c r="GY1" s="3">
        <v>46341</v>
      </c>
      <c r="GZ1" s="3">
        <v>46342</v>
      </c>
      <c r="HA1" s="3">
        <v>46343</v>
      </c>
      <c r="HB1" s="3">
        <v>46344</v>
      </c>
      <c r="HC1" s="3">
        <v>46345</v>
      </c>
      <c r="HD1" s="3">
        <v>46346</v>
      </c>
      <c r="HE1" s="3">
        <v>46347</v>
      </c>
      <c r="HF1" s="3">
        <v>46348</v>
      </c>
      <c r="HG1" s="3">
        <v>46349</v>
      </c>
      <c r="HH1" s="3">
        <v>46350</v>
      </c>
      <c r="HI1" s="3">
        <v>46351</v>
      </c>
      <c r="HJ1" s="3">
        <v>46352</v>
      </c>
      <c r="HK1" s="3">
        <v>46353</v>
      </c>
      <c r="HL1" s="3">
        <v>46354</v>
      </c>
      <c r="HM1" s="3">
        <v>46355</v>
      </c>
      <c r="HN1" s="3">
        <v>46356</v>
      </c>
      <c r="HO1" s="3" t="s">
        <v>8</v>
      </c>
      <c r="HP1" s="3">
        <v>46357</v>
      </c>
      <c r="HQ1" s="3">
        <v>46358</v>
      </c>
      <c r="HR1" s="3">
        <v>46359</v>
      </c>
      <c r="HS1" s="3">
        <v>46360</v>
      </c>
      <c r="HT1" s="3">
        <v>46361</v>
      </c>
      <c r="HU1" s="3">
        <v>46362</v>
      </c>
      <c r="HV1" s="3">
        <v>46363</v>
      </c>
      <c r="HW1" s="3">
        <v>46364</v>
      </c>
      <c r="HX1" s="3">
        <v>46365</v>
      </c>
      <c r="HY1" s="3">
        <v>46366</v>
      </c>
      <c r="HZ1" s="3">
        <v>46367</v>
      </c>
      <c r="IA1" s="3">
        <v>46368</v>
      </c>
      <c r="IB1" s="3">
        <v>46369</v>
      </c>
      <c r="IC1" s="3">
        <v>46370</v>
      </c>
      <c r="ID1" s="3">
        <v>46371</v>
      </c>
      <c r="IE1" s="3">
        <v>46372</v>
      </c>
      <c r="IF1" s="3">
        <v>46373</v>
      </c>
      <c r="IG1" s="3">
        <v>46374</v>
      </c>
      <c r="IH1" s="3">
        <v>46375</v>
      </c>
      <c r="II1" s="3">
        <v>46376</v>
      </c>
      <c r="IJ1" s="3">
        <v>46377</v>
      </c>
      <c r="IK1" s="3">
        <v>46378</v>
      </c>
      <c r="IL1" s="3">
        <v>46379</v>
      </c>
      <c r="IM1" s="3">
        <v>46380</v>
      </c>
      <c r="IN1" s="3">
        <v>46381</v>
      </c>
      <c r="IO1" s="3">
        <v>46382</v>
      </c>
      <c r="IP1" s="3">
        <v>46383</v>
      </c>
      <c r="IQ1" s="3">
        <v>46384</v>
      </c>
      <c r="IR1" s="3">
        <v>46385</v>
      </c>
      <c r="IS1" s="3">
        <v>46386</v>
      </c>
      <c r="IT1" s="3">
        <v>46387</v>
      </c>
      <c r="IU1" s="4" t="s">
        <v>9</v>
      </c>
      <c r="IV1" t="s">
        <v>10</v>
      </c>
    </row>
    <row r="2" ht="88.200000000000003" customHeight="1">
      <c r="A2" s="5" t="s">
        <v>39</v>
      </c>
      <c r="B2" s="2" t="s">
        <v>12</v>
      </c>
      <c r="C2" s="6">
        <v>567.54999999999995</v>
      </c>
      <c r="AH2" s="7">
        <f t="shared" ref="AH2:AH9" si="18">SUM(C2:AG2)</f>
        <v>567.54999999999995</v>
      </c>
      <c r="AK2" s="1"/>
      <c r="AM2">
        <v>102.93000000000001</v>
      </c>
      <c r="AP2">
        <v>1</v>
      </c>
      <c r="AS2">
        <v>4</v>
      </c>
      <c r="AT2">
        <v>183.58000000000001</v>
      </c>
      <c r="AW2">
        <v>302.62</v>
      </c>
      <c r="AX2">
        <v>142.78999999999999</v>
      </c>
      <c r="BD2" t="s">
        <v>40</v>
      </c>
      <c r="BE2">
        <v>448.45999999999998</v>
      </c>
      <c r="BM2" s="1">
        <f t="shared" ref="BM2:BM9" si="19">SUM(AI2:BL2)</f>
        <v>1185.3799999999999</v>
      </c>
      <c r="BZ2">
        <v>2.6120000000000001</v>
      </c>
      <c r="CA2">
        <v>103.92</v>
      </c>
      <c r="CB2">
        <v>99.049999999999997</v>
      </c>
      <c r="CD2">
        <v>51.920000000000002</v>
      </c>
      <c r="CG2">
        <v>496.07999999999998</v>
      </c>
      <c r="CH2">
        <v>25.140000000000001</v>
      </c>
      <c r="CO2">
        <v>23.100000000000001</v>
      </c>
      <c r="CP2">
        <v>74.739999999999995</v>
      </c>
      <c r="CS2" s="1">
        <f t="shared" ref="CS2:CS9" si="20">SUM(BN2:CR2)</f>
        <v>876.56200000000001</v>
      </c>
      <c r="CV2">
        <v>60.939999999999998</v>
      </c>
      <c r="CY2">
        <v>5.7800000000000002</v>
      </c>
      <c r="DC2">
        <v>13.960000000000001</v>
      </c>
      <c r="DD2">
        <v>34.020000000000003</v>
      </c>
      <c r="DF2">
        <v>9.0299999999999994</v>
      </c>
      <c r="DK2">
        <v>76.359999999999999</v>
      </c>
      <c r="DL2">
        <v>1.47</v>
      </c>
      <c r="DM2">
        <v>68.040000000000006</v>
      </c>
      <c r="DS2">
        <v>8.9499999999999993</v>
      </c>
      <c r="DY2" s="1">
        <f t="shared" ref="DY2:DY9" si="21">SUM(CT2:DX2)</f>
        <v>278.55000000000001</v>
      </c>
      <c r="EB2">
        <v>43.770000000000003</v>
      </c>
      <c r="EF2">
        <v>134.155</v>
      </c>
      <c r="EG2">
        <v>134.155</v>
      </c>
      <c r="EH2">
        <v>891.88999999999999</v>
      </c>
      <c r="EI2">
        <v>90.760000000000005</v>
      </c>
      <c r="EN2">
        <v>40.560000000000002</v>
      </c>
      <c r="EQ2">
        <v>10.27</v>
      </c>
      <c r="ET2">
        <v>147.59</v>
      </c>
      <c r="EU2">
        <v>8.6500000000000004</v>
      </c>
      <c r="EW2">
        <v>51.990000000000002</v>
      </c>
      <c r="EX2">
        <v>15.18</v>
      </c>
      <c r="FB2">
        <v>116.27</v>
      </c>
      <c r="FC2">
        <v>28.75</v>
      </c>
      <c r="FD2" s="1">
        <f t="shared" ref="FD2:FD9" si="22">SUM(DZ2:FC2)</f>
        <v>1713.99</v>
      </c>
      <c r="FE2">
        <v>110.78</v>
      </c>
      <c r="GJ2" s="1">
        <f t="shared" ref="GJ2:GJ9" si="23">SUM(FE2:GI2)</f>
        <v>110.78</v>
      </c>
      <c r="HO2" s="1">
        <f t="shared" ref="HO2:HO9" si="24">SUM(GK2:HN2)</f>
        <v>0</v>
      </c>
      <c r="IT2">
        <v>1500</v>
      </c>
      <c r="IU2" s="1">
        <f t="shared" ref="IU2:IU9" si="25">SUM(HP2:IT2)</f>
        <v>1500</v>
      </c>
      <c r="IV2">
        <f t="shared" ref="IV2:IV9" si="26">SUM(AH2,BM2,CS2,DY2,FD2,GJ2,HO2,IU2)</f>
        <v>6232.8119999999999</v>
      </c>
    </row>
    <row r="3" ht="32.399999999999999" customHeight="1">
      <c r="A3" s="5" t="s">
        <v>15</v>
      </c>
      <c r="B3" s="2" t="s">
        <v>16</v>
      </c>
      <c r="C3" s="1">
        <v>93</v>
      </c>
      <c r="AH3" s="7">
        <f t="shared" si="18"/>
        <v>93</v>
      </c>
      <c r="AK3" s="1">
        <v>1</v>
      </c>
      <c r="BM3" s="1">
        <f t="shared" si="19"/>
        <v>1</v>
      </c>
      <c r="CA3">
        <v>3</v>
      </c>
      <c r="CN3">
        <v>2</v>
      </c>
      <c r="CQ3">
        <v>1</v>
      </c>
      <c r="CR3">
        <v>2</v>
      </c>
      <c r="CS3" s="1">
        <f t="shared" si="20"/>
        <v>8</v>
      </c>
      <c r="DG3">
        <v>1</v>
      </c>
      <c r="DL3">
        <v>1</v>
      </c>
      <c r="DS3">
        <v>1</v>
      </c>
      <c r="DY3" s="1">
        <f t="shared" si="21"/>
        <v>3</v>
      </c>
      <c r="EH3">
        <v>1</v>
      </c>
      <c r="EW3">
        <v>2</v>
      </c>
      <c r="FA3">
        <v>1</v>
      </c>
      <c r="FD3" s="1">
        <f t="shared" si="22"/>
        <v>4</v>
      </c>
      <c r="GJ3" s="1">
        <f t="shared" si="23"/>
        <v>0</v>
      </c>
      <c r="HO3" s="1">
        <f t="shared" si="24"/>
        <v>0</v>
      </c>
      <c r="IT3">
        <v>51</v>
      </c>
      <c r="IU3" s="1">
        <f t="shared" si="25"/>
        <v>51</v>
      </c>
      <c r="IV3">
        <f t="shared" si="26"/>
        <v>160</v>
      </c>
    </row>
    <row r="4" ht="32.399999999999999" customHeight="1">
      <c r="A4" s="5" t="s">
        <v>17</v>
      </c>
      <c r="B4" s="2" t="s">
        <v>16</v>
      </c>
      <c r="C4" s="1">
        <v>61</v>
      </c>
      <c r="AH4" s="7">
        <f t="shared" si="18"/>
        <v>61</v>
      </c>
      <c r="AI4" s="1">
        <v>5</v>
      </c>
      <c r="AJ4" s="1">
        <v>5</v>
      </c>
      <c r="AM4">
        <v>1</v>
      </c>
      <c r="AP4">
        <v>1</v>
      </c>
      <c r="AQ4">
        <v>3</v>
      </c>
      <c r="AS4">
        <v>3</v>
      </c>
      <c r="AT4">
        <v>4</v>
      </c>
      <c r="AW4">
        <v>3</v>
      </c>
      <c r="AX4">
        <v>1</v>
      </c>
      <c r="BA4">
        <v>5</v>
      </c>
      <c r="BD4">
        <v>1</v>
      </c>
      <c r="BE4">
        <v>2</v>
      </c>
      <c r="BM4" s="1">
        <f t="shared" si="19"/>
        <v>34</v>
      </c>
      <c r="CB4">
        <v>2</v>
      </c>
      <c r="CC4">
        <v>9</v>
      </c>
      <c r="CD4">
        <v>17</v>
      </c>
      <c r="CI4">
        <v>4</v>
      </c>
      <c r="CJ4">
        <v>4</v>
      </c>
      <c r="CK4">
        <v>4</v>
      </c>
      <c r="CN4">
        <v>12</v>
      </c>
      <c r="CO4">
        <v>8</v>
      </c>
      <c r="CQ4">
        <v>4</v>
      </c>
      <c r="CR4">
        <v>9</v>
      </c>
      <c r="CS4" s="1">
        <f t="shared" si="20"/>
        <v>73</v>
      </c>
      <c r="CW4">
        <v>12</v>
      </c>
      <c r="CY4">
        <v>1</v>
      </c>
      <c r="DF4">
        <v>6</v>
      </c>
      <c r="DK4">
        <v>1</v>
      </c>
      <c r="DY4" s="1">
        <f t="shared" si="21"/>
        <v>20</v>
      </c>
      <c r="EG4">
        <v>1</v>
      </c>
      <c r="EM4">
        <v>2</v>
      </c>
      <c r="EO4">
        <v>2</v>
      </c>
      <c r="EP4">
        <v>1</v>
      </c>
      <c r="EQ4">
        <v>2</v>
      </c>
      <c r="ET4">
        <v>3</v>
      </c>
      <c r="EU4">
        <v>5</v>
      </c>
      <c r="EW4">
        <v>4</v>
      </c>
      <c r="EX4">
        <v>7</v>
      </c>
      <c r="FA4">
        <v>10</v>
      </c>
      <c r="FC4">
        <v>5</v>
      </c>
      <c r="FD4" s="1">
        <f t="shared" si="22"/>
        <v>42</v>
      </c>
      <c r="FE4">
        <v>2</v>
      </c>
      <c r="FF4">
        <v>2</v>
      </c>
      <c r="GJ4" s="1">
        <f t="shared" si="23"/>
        <v>4</v>
      </c>
      <c r="HO4" s="1">
        <f t="shared" si="24"/>
        <v>0</v>
      </c>
      <c r="IT4">
        <v>128</v>
      </c>
      <c r="IU4" s="1">
        <f t="shared" si="25"/>
        <v>128</v>
      </c>
      <c r="IV4">
        <f t="shared" si="26"/>
        <v>362</v>
      </c>
    </row>
    <row r="5" ht="32.399999999999999" customHeight="1">
      <c r="A5" s="5" t="s">
        <v>18</v>
      </c>
      <c r="B5" s="2" t="s">
        <v>16</v>
      </c>
      <c r="C5" s="1">
        <v>93</v>
      </c>
      <c r="AH5" s="7">
        <f t="shared" si="18"/>
        <v>93</v>
      </c>
      <c r="AI5" s="1">
        <v>5</v>
      </c>
      <c r="AJ5" s="1">
        <v>5</v>
      </c>
      <c r="AM5">
        <v>1</v>
      </c>
      <c r="AP5">
        <v>1</v>
      </c>
      <c r="AQ5">
        <v>3</v>
      </c>
      <c r="AS5">
        <v>3</v>
      </c>
      <c r="AT5">
        <v>4</v>
      </c>
      <c r="AW5">
        <v>3</v>
      </c>
      <c r="AX5">
        <v>1</v>
      </c>
      <c r="BA5">
        <v>5</v>
      </c>
      <c r="BD5">
        <v>1</v>
      </c>
      <c r="BE5">
        <v>4</v>
      </c>
      <c r="BM5" s="1">
        <f t="shared" si="19"/>
        <v>36</v>
      </c>
      <c r="CB5">
        <v>2</v>
      </c>
      <c r="CC5">
        <v>9</v>
      </c>
      <c r="CD5">
        <v>17</v>
      </c>
      <c r="CI5">
        <v>4</v>
      </c>
      <c r="CJ5">
        <v>4</v>
      </c>
      <c r="CK5">
        <v>5</v>
      </c>
      <c r="CN5">
        <v>12</v>
      </c>
      <c r="CO5">
        <v>8</v>
      </c>
      <c r="CQ5">
        <v>4</v>
      </c>
      <c r="CR5">
        <v>9</v>
      </c>
      <c r="CS5" s="1">
        <f t="shared" si="20"/>
        <v>74</v>
      </c>
      <c r="CW5">
        <v>12</v>
      </c>
      <c r="CX5">
        <v>8</v>
      </c>
      <c r="CY5">
        <v>10</v>
      </c>
      <c r="CZ5">
        <v>6</v>
      </c>
      <c r="DC5">
        <v>6</v>
      </c>
      <c r="DF5">
        <v>6</v>
      </c>
      <c r="DK5">
        <v>1</v>
      </c>
      <c r="DT5">
        <v>1</v>
      </c>
      <c r="DU5">
        <v>5</v>
      </c>
      <c r="DY5" s="1">
        <f t="shared" si="21"/>
        <v>55</v>
      </c>
      <c r="EC5">
        <v>1</v>
      </c>
      <c r="EG5">
        <v>1</v>
      </c>
      <c r="EO5">
        <v>2</v>
      </c>
      <c r="EP5">
        <v>1</v>
      </c>
      <c r="EQ5">
        <v>2</v>
      </c>
      <c r="ET5">
        <v>3</v>
      </c>
      <c r="EU5">
        <v>5</v>
      </c>
      <c r="EW5">
        <v>4</v>
      </c>
      <c r="EX5">
        <v>7</v>
      </c>
      <c r="FA5">
        <v>10</v>
      </c>
      <c r="FC5">
        <v>5</v>
      </c>
      <c r="FD5" s="1">
        <f t="shared" si="22"/>
        <v>41</v>
      </c>
      <c r="FE5">
        <v>2</v>
      </c>
      <c r="FF5">
        <v>2</v>
      </c>
      <c r="GJ5" s="1">
        <f t="shared" si="23"/>
        <v>4</v>
      </c>
      <c r="HO5" s="1">
        <f t="shared" si="24"/>
        <v>0</v>
      </c>
      <c r="IT5">
        <v>129</v>
      </c>
      <c r="IU5" s="1">
        <f t="shared" si="25"/>
        <v>129</v>
      </c>
      <c r="IV5">
        <f t="shared" si="26"/>
        <v>432</v>
      </c>
    </row>
    <row r="6" ht="32.399999999999999" customHeight="1">
      <c r="A6" s="5" t="s">
        <v>19</v>
      </c>
      <c r="B6" s="2" t="s">
        <v>16</v>
      </c>
      <c r="C6" s="1">
        <v>3</v>
      </c>
      <c r="AH6" s="7">
        <f t="shared" si="18"/>
        <v>3</v>
      </c>
      <c r="AT6">
        <v>1</v>
      </c>
      <c r="AW6">
        <v>1</v>
      </c>
      <c r="AY6">
        <v>12</v>
      </c>
      <c r="BM6" s="1">
        <f t="shared" si="19"/>
        <v>14</v>
      </c>
      <c r="CB6">
        <v>2</v>
      </c>
      <c r="CQ6">
        <v>2</v>
      </c>
      <c r="CS6" s="1">
        <f t="shared" si="20"/>
        <v>4</v>
      </c>
      <c r="CX6">
        <v>8</v>
      </c>
      <c r="CY6">
        <v>10</v>
      </c>
      <c r="CZ6">
        <v>6</v>
      </c>
      <c r="DS6">
        <v>3</v>
      </c>
      <c r="DY6" s="1">
        <f t="shared" si="21"/>
        <v>27</v>
      </c>
      <c r="EA6">
        <v>1</v>
      </c>
      <c r="FD6" s="1">
        <f t="shared" si="22"/>
        <v>1</v>
      </c>
      <c r="GJ6" s="1">
        <f t="shared" si="23"/>
        <v>0</v>
      </c>
      <c r="HO6" s="1">
        <f t="shared" si="24"/>
        <v>0</v>
      </c>
      <c r="IT6">
        <v>30</v>
      </c>
      <c r="IU6" s="1">
        <f t="shared" si="25"/>
        <v>30</v>
      </c>
      <c r="IV6">
        <f t="shared" si="26"/>
        <v>79</v>
      </c>
    </row>
    <row r="7" ht="32.399999999999999" customHeight="1">
      <c r="A7" s="5" t="s">
        <v>20</v>
      </c>
      <c r="B7" s="2" t="s">
        <v>16</v>
      </c>
      <c r="AH7" s="7">
        <f t="shared" si="18"/>
        <v>0</v>
      </c>
      <c r="BM7" s="1">
        <f t="shared" si="19"/>
        <v>0</v>
      </c>
      <c r="CH7">
        <v>7</v>
      </c>
      <c r="CS7" s="1">
        <f t="shared" si="20"/>
        <v>7</v>
      </c>
      <c r="DT7">
        <v>8</v>
      </c>
      <c r="DY7" s="1">
        <f t="shared" si="21"/>
        <v>8</v>
      </c>
      <c r="DZ7">
        <v>1</v>
      </c>
      <c r="EW7">
        <v>12</v>
      </c>
      <c r="FA7">
        <v>4</v>
      </c>
      <c r="FD7" s="1">
        <f t="shared" si="22"/>
        <v>17</v>
      </c>
      <c r="GJ7" s="1">
        <f t="shared" si="23"/>
        <v>0</v>
      </c>
      <c r="HO7" s="1">
        <f t="shared" si="24"/>
        <v>0</v>
      </c>
      <c r="IT7">
        <v>31</v>
      </c>
      <c r="IU7" s="1">
        <f t="shared" si="25"/>
        <v>31</v>
      </c>
      <c r="IV7">
        <f t="shared" si="26"/>
        <v>63</v>
      </c>
    </row>
    <row r="8" ht="32.399999999999999" customHeight="1">
      <c r="A8" s="5" t="s">
        <v>21</v>
      </c>
      <c r="B8" s="2" t="s">
        <v>22</v>
      </c>
      <c r="C8" s="1">
        <v>3</v>
      </c>
      <c r="AH8" s="7">
        <f t="shared" si="18"/>
        <v>3</v>
      </c>
      <c r="BM8" s="1">
        <f t="shared" si="19"/>
        <v>0</v>
      </c>
      <c r="CO8">
        <v>2</v>
      </c>
      <c r="CP8">
        <v>1</v>
      </c>
      <c r="CR8">
        <v>1</v>
      </c>
      <c r="CS8" s="1">
        <f t="shared" si="20"/>
        <v>4</v>
      </c>
      <c r="DE8">
        <v>1</v>
      </c>
      <c r="DG8">
        <v>1</v>
      </c>
      <c r="DK8">
        <v>1</v>
      </c>
      <c r="DL8">
        <v>2</v>
      </c>
      <c r="DY8" s="1">
        <f t="shared" si="21"/>
        <v>5</v>
      </c>
      <c r="EM8">
        <v>1</v>
      </c>
      <c r="EP8">
        <v>1</v>
      </c>
      <c r="EV8">
        <v>5</v>
      </c>
      <c r="FA8">
        <v>1</v>
      </c>
      <c r="FD8" s="1">
        <f t="shared" si="22"/>
        <v>8</v>
      </c>
      <c r="GJ8" s="1">
        <f t="shared" si="23"/>
        <v>0</v>
      </c>
      <c r="HO8" s="1">
        <f t="shared" si="24"/>
        <v>0</v>
      </c>
      <c r="IT8">
        <v>5</v>
      </c>
      <c r="IU8" s="1">
        <f t="shared" si="25"/>
        <v>5</v>
      </c>
      <c r="IV8">
        <f t="shared" si="26"/>
        <v>25</v>
      </c>
    </row>
    <row r="9" ht="32.399999999999999" customHeight="1">
      <c r="A9" s="5" t="s">
        <v>23</v>
      </c>
      <c r="B9" s="2" t="s">
        <v>16</v>
      </c>
      <c r="C9" s="1">
        <v>184</v>
      </c>
      <c r="AH9" s="7">
        <f t="shared" si="18"/>
        <v>184</v>
      </c>
      <c r="AI9">
        <v>10</v>
      </c>
      <c r="AK9" s="1">
        <v>8</v>
      </c>
      <c r="AM9">
        <v>15</v>
      </c>
      <c r="AP9">
        <v>4</v>
      </c>
      <c r="AS9">
        <v>23</v>
      </c>
      <c r="AT9">
        <v>20</v>
      </c>
      <c r="BE9">
        <v>6</v>
      </c>
      <c r="BM9" s="1">
        <f t="shared" si="19"/>
        <v>86</v>
      </c>
      <c r="CA9">
        <v>8</v>
      </c>
      <c r="CB9">
        <v>4</v>
      </c>
      <c r="CG9">
        <v>20</v>
      </c>
      <c r="CH9">
        <v>20</v>
      </c>
      <c r="CO9">
        <v>10</v>
      </c>
      <c r="CP9">
        <v>18</v>
      </c>
      <c r="CS9" s="1">
        <f t="shared" si="20"/>
        <v>80</v>
      </c>
      <c r="DD9">
        <v>8</v>
      </c>
      <c r="DE9">
        <v>3</v>
      </c>
      <c r="DG9">
        <v>3</v>
      </c>
      <c r="DK9">
        <v>3</v>
      </c>
      <c r="DL9">
        <v>5</v>
      </c>
      <c r="DM9">
        <v>6</v>
      </c>
      <c r="DY9" s="1">
        <f t="shared" si="21"/>
        <v>28</v>
      </c>
      <c r="EB9">
        <v>10</v>
      </c>
      <c r="EM9">
        <v>19</v>
      </c>
      <c r="EP9">
        <v>5</v>
      </c>
      <c r="EQ9">
        <v>5</v>
      </c>
      <c r="ET9">
        <v>11</v>
      </c>
      <c r="EU9">
        <v>5</v>
      </c>
      <c r="FB9">
        <v>24</v>
      </c>
      <c r="FC9">
        <v>6</v>
      </c>
      <c r="FD9" s="1">
        <f t="shared" si="22"/>
        <v>85</v>
      </c>
      <c r="FE9">
        <v>6</v>
      </c>
      <c r="GJ9" s="1">
        <f t="shared" si="23"/>
        <v>6</v>
      </c>
      <c r="HO9" s="1">
        <f t="shared" si="24"/>
        <v>0</v>
      </c>
      <c r="IT9">
        <v>433</v>
      </c>
      <c r="IU9" s="1">
        <f t="shared" si="25"/>
        <v>433</v>
      </c>
      <c r="IV9">
        <f t="shared" si="26"/>
        <v>902</v>
      </c>
    </row>
    <row r="10" ht="32.399999999999999" customHeight="1">
      <c r="A10" s="5" t="s">
        <v>24</v>
      </c>
      <c r="B10" s="2" t="s">
        <v>16</v>
      </c>
      <c r="AH10" s="7">
        <f t="shared" ref="AH10:AH23" si="27">SUM(C10:AG10)</f>
        <v>0</v>
      </c>
      <c r="AI10">
        <v>10</v>
      </c>
      <c r="AK10" s="1">
        <v>8</v>
      </c>
      <c r="AM10">
        <v>15</v>
      </c>
      <c r="AP10">
        <v>4</v>
      </c>
      <c r="AS10">
        <v>23</v>
      </c>
      <c r="AT10">
        <v>20</v>
      </c>
      <c r="AW10">
        <v>10</v>
      </c>
      <c r="AX10">
        <v>10</v>
      </c>
      <c r="BD10">
        <v>6</v>
      </c>
      <c r="BE10">
        <v>12</v>
      </c>
      <c r="BF10">
        <v>8</v>
      </c>
      <c r="BM10" s="1">
        <f t="shared" ref="BM10:BM23" si="28">SUM(AI10:BL10)</f>
        <v>126</v>
      </c>
      <c r="BZ10">
        <v>20</v>
      </c>
      <c r="CA10">
        <v>8</v>
      </c>
      <c r="CB10">
        <v>8</v>
      </c>
      <c r="CG10">
        <v>20</v>
      </c>
      <c r="CH10">
        <v>20</v>
      </c>
      <c r="CO10">
        <v>10</v>
      </c>
      <c r="CP10">
        <v>18</v>
      </c>
      <c r="CS10" s="1">
        <f t="shared" ref="CS10:CS18" si="29">SUM(BN10:CR10)</f>
        <v>104</v>
      </c>
      <c r="DD10">
        <v>8</v>
      </c>
      <c r="DF10">
        <v>3</v>
      </c>
      <c r="DG10">
        <v>3</v>
      </c>
      <c r="DK10">
        <v>3</v>
      </c>
      <c r="DL10">
        <v>10</v>
      </c>
      <c r="DM10">
        <v>6</v>
      </c>
      <c r="DY10" s="1">
        <f t="shared" ref="DY10:DY18" si="30">SUM(CT10:DX10)</f>
        <v>33</v>
      </c>
      <c r="EB10">
        <v>10</v>
      </c>
      <c r="EF10">
        <v>8</v>
      </c>
      <c r="EH10">
        <v>12</v>
      </c>
      <c r="EI10">
        <v>8</v>
      </c>
      <c r="EM10">
        <v>10</v>
      </c>
      <c r="EP10">
        <v>5</v>
      </c>
      <c r="EQ10">
        <v>5</v>
      </c>
      <c r="ET10">
        <v>11</v>
      </c>
      <c r="EU10">
        <v>5</v>
      </c>
      <c r="FB10">
        <v>24</v>
      </c>
      <c r="FC10">
        <v>3</v>
      </c>
      <c r="FD10" s="1">
        <f t="shared" ref="FD10:FD18" si="31">SUM(DZ10:FC10)</f>
        <v>101</v>
      </c>
      <c r="FE10">
        <v>6</v>
      </c>
      <c r="GJ10" s="1">
        <f t="shared" ref="GJ10:GJ18" si="32">SUM(FE10:GI10)</f>
        <v>6</v>
      </c>
      <c r="HO10" s="1">
        <f t="shared" ref="HO10:HO18" si="33">SUM(GK10:HN10)</f>
        <v>0</v>
      </c>
      <c r="IT10">
        <v>409</v>
      </c>
      <c r="IU10" s="1">
        <f t="shared" ref="IU10:IU18" si="34">SUM(HP10:IT10)</f>
        <v>409</v>
      </c>
      <c r="IV10">
        <f t="shared" ref="IV10:IV18" si="35">SUM(AH10,BM10,CS10,DY10,FD10,GJ10,HO10,IU10)</f>
        <v>779</v>
      </c>
    </row>
    <row r="11" ht="32.399999999999999" customHeight="1">
      <c r="A11" s="5" t="s">
        <v>25</v>
      </c>
      <c r="B11" s="2" t="s">
        <v>16</v>
      </c>
      <c r="AH11" s="7">
        <f t="shared" si="27"/>
        <v>0</v>
      </c>
      <c r="BM11" s="1">
        <f t="shared" si="28"/>
        <v>0</v>
      </c>
      <c r="CS11" s="1">
        <f t="shared" si="29"/>
        <v>0</v>
      </c>
      <c r="DY11" s="1">
        <f t="shared" si="30"/>
        <v>0</v>
      </c>
      <c r="FD11" s="1">
        <f t="shared" si="31"/>
        <v>0</v>
      </c>
      <c r="GJ11" s="1">
        <f t="shared" si="32"/>
        <v>0</v>
      </c>
      <c r="HO11" s="1">
        <f t="shared" si="33"/>
        <v>0</v>
      </c>
      <c r="IT11">
        <v>220</v>
      </c>
      <c r="IU11" s="1">
        <f t="shared" si="34"/>
        <v>220</v>
      </c>
      <c r="IV11">
        <f t="shared" si="35"/>
        <v>220</v>
      </c>
    </row>
    <row r="12" ht="32.399999999999999" customHeight="1">
      <c r="A12" s="5" t="s">
        <v>26</v>
      </c>
      <c r="B12" s="2" t="s">
        <v>16</v>
      </c>
      <c r="AH12" s="7">
        <f t="shared" si="27"/>
        <v>0</v>
      </c>
      <c r="AW12">
        <v>2</v>
      </c>
      <c r="BM12" s="1">
        <f t="shared" si="28"/>
        <v>2</v>
      </c>
      <c r="CS12" s="1">
        <f t="shared" si="29"/>
        <v>0</v>
      </c>
      <c r="DY12" s="1">
        <f t="shared" si="30"/>
        <v>0</v>
      </c>
      <c r="FD12" s="1">
        <f t="shared" si="31"/>
        <v>0</v>
      </c>
      <c r="GJ12" s="1">
        <f t="shared" si="32"/>
        <v>0</v>
      </c>
      <c r="HO12" s="1">
        <f t="shared" si="33"/>
        <v>0</v>
      </c>
      <c r="IT12">
        <v>6</v>
      </c>
      <c r="IU12" s="1">
        <f t="shared" si="34"/>
        <v>6</v>
      </c>
      <c r="IV12">
        <f t="shared" si="35"/>
        <v>8</v>
      </c>
    </row>
    <row r="13" ht="32.399999999999999" customHeight="1">
      <c r="A13" s="5" t="s">
        <v>27</v>
      </c>
      <c r="B13" s="2" t="s">
        <v>16</v>
      </c>
      <c r="C13" s="1">
        <v>115</v>
      </c>
      <c r="AH13" s="7">
        <f t="shared" si="27"/>
        <v>115</v>
      </c>
      <c r="AW13">
        <v>12</v>
      </c>
      <c r="BM13" s="1">
        <f t="shared" si="28"/>
        <v>12</v>
      </c>
      <c r="CS13" s="1">
        <f t="shared" si="29"/>
        <v>0</v>
      </c>
      <c r="DN13">
        <v>34</v>
      </c>
      <c r="DS13">
        <v>26</v>
      </c>
      <c r="DT13">
        <v>26</v>
      </c>
      <c r="DU13">
        <v>21</v>
      </c>
      <c r="DX13">
        <v>11</v>
      </c>
      <c r="DY13" s="1">
        <f t="shared" si="30"/>
        <v>118</v>
      </c>
      <c r="DZ13">
        <v>19</v>
      </c>
      <c r="FD13" s="1">
        <f t="shared" si="31"/>
        <v>19</v>
      </c>
      <c r="GJ13" s="1">
        <f t="shared" si="32"/>
        <v>0</v>
      </c>
      <c r="HO13" s="1">
        <f t="shared" si="33"/>
        <v>0</v>
      </c>
      <c r="IT13">
        <v>156</v>
      </c>
      <c r="IU13" s="1">
        <f t="shared" si="34"/>
        <v>156</v>
      </c>
      <c r="IV13">
        <f t="shared" si="35"/>
        <v>420</v>
      </c>
    </row>
    <row r="14" ht="32.399999999999999" customHeight="1">
      <c r="A14" s="5" t="s">
        <v>28</v>
      </c>
      <c r="B14" s="2" t="s">
        <v>16</v>
      </c>
      <c r="AH14" s="7">
        <f t="shared" si="27"/>
        <v>0</v>
      </c>
      <c r="BM14" s="1">
        <f t="shared" si="28"/>
        <v>0</v>
      </c>
      <c r="CS14" s="1">
        <f t="shared" si="29"/>
        <v>0</v>
      </c>
      <c r="DY14" s="1">
        <f t="shared" si="30"/>
        <v>0</v>
      </c>
      <c r="FD14" s="1">
        <f t="shared" si="31"/>
        <v>0</v>
      </c>
      <c r="GJ14" s="1">
        <f t="shared" si="32"/>
        <v>0</v>
      </c>
      <c r="HO14" s="1">
        <f t="shared" si="33"/>
        <v>0</v>
      </c>
      <c r="IT14">
        <v>108</v>
      </c>
      <c r="IU14" s="1">
        <f t="shared" si="34"/>
        <v>108</v>
      </c>
      <c r="IV14">
        <f t="shared" si="35"/>
        <v>108</v>
      </c>
    </row>
    <row r="15" ht="32.399999999999999" customHeight="1">
      <c r="A15" s="5" t="s">
        <v>29</v>
      </c>
      <c r="B15" s="2" t="s">
        <v>16</v>
      </c>
      <c r="C15" s="1">
        <v>135</v>
      </c>
      <c r="AH15" s="7">
        <f t="shared" si="27"/>
        <v>135</v>
      </c>
      <c r="AI15" s="1"/>
      <c r="AJ15" s="1">
        <v>5</v>
      </c>
      <c r="AM15">
        <v>3</v>
      </c>
      <c r="AS15">
        <v>4</v>
      </c>
      <c r="AT15">
        <v>8</v>
      </c>
      <c r="AW15">
        <v>5</v>
      </c>
      <c r="AX15">
        <v>4</v>
      </c>
      <c r="BA15">
        <v>22</v>
      </c>
      <c r="BD15">
        <v>22</v>
      </c>
      <c r="BF15">
        <v>37</v>
      </c>
      <c r="BM15" s="1">
        <f t="shared" si="28"/>
        <v>110</v>
      </c>
      <c r="CP15">
        <v>4</v>
      </c>
      <c r="CS15" s="1">
        <f t="shared" si="29"/>
        <v>4</v>
      </c>
      <c r="CW15">
        <v>30</v>
      </c>
      <c r="CX15">
        <v>20</v>
      </c>
      <c r="CY15">
        <v>10</v>
      </c>
      <c r="CZ15">
        <v>12</v>
      </c>
      <c r="DC15">
        <v>13</v>
      </c>
      <c r="DD15">
        <v>38</v>
      </c>
      <c r="DE15">
        <v>11</v>
      </c>
      <c r="DF15">
        <v>7</v>
      </c>
      <c r="DG15">
        <v>13</v>
      </c>
      <c r="DK15">
        <v>13</v>
      </c>
      <c r="DL15">
        <v>5</v>
      </c>
      <c r="DM15">
        <v>13</v>
      </c>
      <c r="DN15">
        <v>30</v>
      </c>
      <c r="DS15">
        <v>10</v>
      </c>
      <c r="DT15">
        <v>26</v>
      </c>
      <c r="DU15">
        <v>19</v>
      </c>
      <c r="DX15">
        <v>41</v>
      </c>
      <c r="DY15" s="1">
        <f t="shared" si="30"/>
        <v>311</v>
      </c>
      <c r="DZ15">
        <v>26</v>
      </c>
      <c r="EA15">
        <v>19</v>
      </c>
      <c r="EC15">
        <v>13</v>
      </c>
      <c r="EH15">
        <v>8</v>
      </c>
      <c r="EI15">
        <v>37</v>
      </c>
      <c r="EM15">
        <v>31</v>
      </c>
      <c r="EN15">
        <v>25</v>
      </c>
      <c r="EO15">
        <v>24</v>
      </c>
      <c r="EP15">
        <v>15</v>
      </c>
      <c r="EQ15">
        <v>18</v>
      </c>
      <c r="EU15">
        <v>22</v>
      </c>
      <c r="EW15">
        <v>2</v>
      </c>
      <c r="FB15">
        <v>5</v>
      </c>
      <c r="FC15">
        <v>11</v>
      </c>
      <c r="FD15" s="1">
        <f t="shared" si="31"/>
        <v>256</v>
      </c>
      <c r="FE15">
        <v>10</v>
      </c>
      <c r="FF15">
        <v>47</v>
      </c>
      <c r="GJ15" s="1">
        <f t="shared" si="32"/>
        <v>57</v>
      </c>
      <c r="HO15" s="1">
        <f t="shared" si="33"/>
        <v>0</v>
      </c>
      <c r="IT15">
        <v>750</v>
      </c>
      <c r="IU15" s="1">
        <f t="shared" si="34"/>
        <v>750</v>
      </c>
      <c r="IV15">
        <f t="shared" si="35"/>
        <v>1623</v>
      </c>
    </row>
    <row r="16" ht="32.399999999999999" customHeight="1">
      <c r="A16" s="5" t="s">
        <v>30</v>
      </c>
      <c r="B16" s="2" t="s">
        <v>22</v>
      </c>
      <c r="AH16" s="7">
        <f t="shared" si="27"/>
        <v>0</v>
      </c>
      <c r="AK16" s="1">
        <v>1</v>
      </c>
      <c r="BM16" s="1">
        <f t="shared" si="28"/>
        <v>1</v>
      </c>
      <c r="CO16">
        <v>3</v>
      </c>
      <c r="CS16" s="1">
        <f t="shared" si="29"/>
        <v>3</v>
      </c>
      <c r="DY16" s="1">
        <f t="shared" si="30"/>
        <v>0</v>
      </c>
      <c r="FD16" s="1">
        <f t="shared" si="31"/>
        <v>0</v>
      </c>
      <c r="GJ16" s="1">
        <f t="shared" si="32"/>
        <v>0</v>
      </c>
      <c r="HO16" s="1">
        <f t="shared" si="33"/>
        <v>0</v>
      </c>
      <c r="IU16" s="1">
        <f t="shared" si="34"/>
        <v>0</v>
      </c>
      <c r="IV16">
        <f t="shared" si="35"/>
        <v>4</v>
      </c>
    </row>
    <row r="17" ht="32.399999999999999" customHeight="1">
      <c r="A17" s="5" t="s">
        <v>31</v>
      </c>
      <c r="B17" s="2" t="s">
        <v>16</v>
      </c>
      <c r="C17" s="1">
        <v>12</v>
      </c>
      <c r="AH17" s="7">
        <f t="shared" si="27"/>
        <v>12</v>
      </c>
      <c r="BM17" s="1">
        <f t="shared" si="28"/>
        <v>0</v>
      </c>
      <c r="IV17">
        <f t="shared" si="35"/>
        <v>12</v>
      </c>
    </row>
    <row r="18" ht="32.399999999999999" customHeight="1">
      <c r="A18" s="5" t="s">
        <v>32</v>
      </c>
      <c r="B18" s="2" t="s">
        <v>16</v>
      </c>
      <c r="C18" s="1">
        <v>163</v>
      </c>
      <c r="AH18" s="7">
        <f t="shared" si="27"/>
        <v>163</v>
      </c>
      <c r="AI18" s="1">
        <v>26</v>
      </c>
      <c r="AJ18" s="1">
        <v>26</v>
      </c>
      <c r="AK18" s="1">
        <v>20</v>
      </c>
      <c r="AL18">
        <v>40</v>
      </c>
      <c r="AM18">
        <v>10</v>
      </c>
      <c r="AN18">
        <v>50</v>
      </c>
      <c r="AP18">
        <v>20</v>
      </c>
      <c r="AQ18">
        <v>30</v>
      </c>
      <c r="AU18">
        <v>7</v>
      </c>
      <c r="AW18">
        <v>10</v>
      </c>
      <c r="AX18">
        <v>7</v>
      </c>
      <c r="AY18">
        <v>35</v>
      </c>
      <c r="AZ18">
        <v>45</v>
      </c>
      <c r="BA18">
        <v>20</v>
      </c>
      <c r="BD18">
        <v>10</v>
      </c>
      <c r="BE18">
        <v>15</v>
      </c>
      <c r="BM18" s="1">
        <f t="shared" si="28"/>
        <v>371</v>
      </c>
      <c r="CI18">
        <v>175</v>
      </c>
      <c r="CJ18">
        <v>35</v>
      </c>
      <c r="CQ18">
        <v>84</v>
      </c>
      <c r="CR18">
        <v>70</v>
      </c>
      <c r="CS18" s="1">
        <f t="shared" si="29"/>
        <v>364</v>
      </c>
      <c r="CV18">
        <v>230</v>
      </c>
      <c r="DY18" s="1">
        <f t="shared" si="30"/>
        <v>230</v>
      </c>
      <c r="EB18">
        <v>4</v>
      </c>
      <c r="FD18" s="1">
        <f t="shared" si="31"/>
        <v>4</v>
      </c>
      <c r="GJ18" s="1">
        <f t="shared" si="32"/>
        <v>0</v>
      </c>
      <c r="HO18" s="1">
        <f t="shared" si="33"/>
        <v>0</v>
      </c>
      <c r="IU18" s="1">
        <f t="shared" si="34"/>
        <v>0</v>
      </c>
      <c r="IV18">
        <f t="shared" si="35"/>
        <v>1132</v>
      </c>
    </row>
    <row r="19" ht="32.399999999999999" customHeight="1">
      <c r="A19" s="5"/>
      <c r="B19" s="2"/>
      <c r="AH19" s="7">
        <f t="shared" si="27"/>
        <v>0</v>
      </c>
      <c r="BM19" s="1">
        <f t="shared" si="28"/>
        <v>0</v>
      </c>
    </row>
    <row r="20" ht="32.399999999999999" customHeight="1">
      <c r="A20" s="5"/>
      <c r="B20" s="2"/>
      <c r="AH20" s="7">
        <f t="shared" si="27"/>
        <v>0</v>
      </c>
      <c r="BM20" s="1">
        <f t="shared" si="28"/>
        <v>0</v>
      </c>
    </row>
    <row r="21" ht="32.399999999999999" customHeight="1">
      <c r="A21" s="5"/>
      <c r="B21" s="2"/>
      <c r="AH21" s="7">
        <f t="shared" si="27"/>
        <v>0</v>
      </c>
      <c r="BM21" s="1">
        <f t="shared" si="28"/>
        <v>0</v>
      </c>
    </row>
    <row r="22" ht="32.399999999999999" customHeight="1">
      <c r="A22" s="5"/>
      <c r="B22" s="2"/>
      <c r="AH22" s="7">
        <f t="shared" si="27"/>
        <v>0</v>
      </c>
      <c r="BM22" s="1">
        <f t="shared" si="28"/>
        <v>0</v>
      </c>
    </row>
    <row r="23" ht="32.399999999999999" customHeight="1">
      <c r="A23" s="5"/>
      <c r="B23" s="2"/>
      <c r="AH23" s="7">
        <f t="shared" si="27"/>
        <v>0</v>
      </c>
      <c r="BM23" s="1">
        <f t="shared" si="28"/>
        <v>0</v>
      </c>
    </row>
    <row r="86" ht="23.850000000000001">
      <c r="B86" s="5" t="s">
        <v>34</v>
      </c>
    </row>
    <row r="87" ht="13.800000000000001">
      <c r="B87" s="5" t="s">
        <v>35</v>
      </c>
    </row>
    <row r="88" ht="13.800000000000001">
      <c r="B88" s="5" t="s">
        <v>36</v>
      </c>
    </row>
    <row r="89" ht="13.800000000000001">
      <c r="B89" s="5" t="s">
        <v>37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6" zoomScale="100" workbookViewId="0">
      <pane xSplit="1" topLeftCell="B1" activePane="topRight" state="frozen"/>
      <selection activeCell="AI3" activeCellId="0" sqref="AI3"/>
    </sheetView>
  </sheetViews>
  <sheetFormatPr defaultColWidth="12.67578125" defaultRowHeight="13.5"/>
  <cols>
    <col customWidth="1" min="1" max="1" style="1" width="42.329999999999998"/>
    <col customWidth="1" min="2" max="2" style="1" width="38.140000000000001"/>
    <col customWidth="0" hidden="1" min="3" max="34" style="1" width="12.67"/>
    <col customWidth="1" min="40" max="40" width="2.8515625"/>
    <col customWidth="1" min="41" max="41" width="2.421875"/>
    <col customWidth="1" min="47" max="47" width="1.6328125"/>
    <col customWidth="1" min="48" max="48" width="2.00390625"/>
    <col customWidth="1" min="53" max="53" width="12.00390625"/>
    <col customWidth="1" min="54" max="54" width="1.4609375"/>
    <col customWidth="1" min="55" max="55" width="1.7109375"/>
    <col customWidth="1" min="61" max="61" width="3.00390625"/>
    <col customWidth="1" min="62" max="62" width="2.57421875"/>
    <col customWidth="1" hidden="1" min="65" max="65" style="1" width="0"/>
    <col customWidth="1" min="68" max="68" width="4.7109375"/>
    <col customWidth="1" min="69" max="69" width="3.57421875"/>
    <col customWidth="1" min="70" max="70" width="4.140625"/>
    <col customWidth="1" min="76" max="76" width="5.421875"/>
    <col customWidth="1" min="77" max="77" width="4.140625"/>
    <col customWidth="1" min="83" max="83" width="4.140625"/>
    <col customWidth="1" min="84" max="84" width="4.57421875"/>
    <col customWidth="1" min="90" max="91" width="4.28125"/>
    <col customWidth="1" min="92" max="92" width="2.7109375"/>
    <col customWidth="1" min="93" max="93" width="4.00390625"/>
    <col customWidth="1" min="94" max="94" width="3.8515625"/>
    <col customWidth="1" min="95" max="95" width="4.28125"/>
    <col customWidth="1" min="96" max="96" width="3.57421875"/>
    <col customWidth="0" hidden="1" min="97" max="97" style="1" width="12.67"/>
    <col customWidth="1" min="98" max="99" width="4.00390625"/>
    <col customWidth="1" min="100" max="100" width="4.421875"/>
    <col customWidth="1" min="101" max="101" width="4.8515625"/>
    <col customWidth="1" min="102" max="102" width="4.28125"/>
    <col customWidth="1" min="103" max="103" width="4.421875"/>
    <col customWidth="1" min="104" max="104" width="2.8515625"/>
    <col customWidth="1" min="105" max="105" width="4.140625"/>
    <col customWidth="1" min="106" max="106" width="3.00390625"/>
    <col customWidth="1" min="107" max="108" width="3.140625"/>
    <col customWidth="1" min="109" max="109" width="2.57421875"/>
    <col customWidth="1" min="110" max="110" width="3.00390625"/>
    <col customWidth="1" min="111" max="111" width="3.57421875"/>
    <col customWidth="1" min="112" max="112" width="3.00390625"/>
    <col customWidth="1" min="113" max="113" width="4.140625"/>
    <col customWidth="1" min="116" max="116" width="5.140625"/>
    <col customWidth="1" min="119" max="119" width="3.57421875"/>
    <col customWidth="1" min="120" max="120" width="3.28125"/>
    <col customWidth="1" min="126" max="127" width="4.28125"/>
    <col customWidth="0" hidden="1" min="129" max="129" style="1" width="12.67"/>
    <col customWidth="1" min="134" max="135" width="2.421875"/>
    <col customWidth="1" min="141" max="141" width="4.28125"/>
    <col customWidth="1" min="142" max="142" width="3.8515625"/>
    <col customWidth="1" min="147" max="147" width="15.140625"/>
    <col customWidth="1" min="148" max="148" width="4.421875"/>
    <col customWidth="1" min="149" max="149" width="4.140625"/>
    <col customWidth="1" min="152" max="152" width="4.57421875"/>
    <col customWidth="1" min="153" max="153" width="5.28125"/>
    <col customWidth="1" min="154" max="154" width="4.7109375"/>
    <col customWidth="1" min="155" max="155" width="4.421875"/>
    <col customWidth="1" min="156" max="156" width="5.28125"/>
    <col customWidth="1" min="157" max="157" width="4.8515625"/>
    <col customWidth="0" hidden="1" min="160" max="160" style="1" width="12.67"/>
    <col customWidth="0" hidden="1" min="192" max="192" style="1" width="12.67"/>
    <col customWidth="0" hidden="1" min="223" max="223" style="1" width="12.67"/>
    <col customWidth="0" hidden="1" min="255" max="255" style="1" width="12.67"/>
  </cols>
  <sheetData>
    <row r="1" ht="34.200000000000003" customHeight="1">
      <c r="A1" s="2" t="s">
        <v>0</v>
      </c>
      <c r="B1" s="2" t="s">
        <v>1</v>
      </c>
      <c r="C1" s="3">
        <v>46143</v>
      </c>
      <c r="D1" s="3">
        <v>46144</v>
      </c>
      <c r="E1" s="3">
        <v>46145</v>
      </c>
      <c r="F1" s="3">
        <v>46146</v>
      </c>
      <c r="G1" s="3">
        <v>46147</v>
      </c>
      <c r="H1" s="3">
        <v>46148</v>
      </c>
      <c r="I1" s="3">
        <v>46149</v>
      </c>
      <c r="J1" s="3">
        <v>46150</v>
      </c>
      <c r="K1" s="3">
        <v>46151</v>
      </c>
      <c r="L1" s="3">
        <v>46152</v>
      </c>
      <c r="M1" s="3">
        <v>46153</v>
      </c>
      <c r="N1" s="3">
        <v>46154</v>
      </c>
      <c r="O1" s="3">
        <v>46155</v>
      </c>
      <c r="P1" s="3">
        <v>46156</v>
      </c>
      <c r="Q1" s="3">
        <v>46157</v>
      </c>
      <c r="R1" s="3">
        <v>46158</v>
      </c>
      <c r="S1" s="3">
        <v>46159</v>
      </c>
      <c r="T1" s="3">
        <v>46160</v>
      </c>
      <c r="U1" s="3">
        <v>46161</v>
      </c>
      <c r="V1" s="3">
        <v>46162</v>
      </c>
      <c r="W1" s="3">
        <v>46163</v>
      </c>
      <c r="X1" s="3">
        <v>46164</v>
      </c>
      <c r="Y1" s="3">
        <v>46165</v>
      </c>
      <c r="Z1" s="3">
        <v>46166</v>
      </c>
      <c r="AA1" s="3">
        <v>46167</v>
      </c>
      <c r="AB1" s="3">
        <v>46168</v>
      </c>
      <c r="AC1" s="3">
        <v>46169</v>
      </c>
      <c r="AD1" s="3">
        <v>46170</v>
      </c>
      <c r="AE1" s="3">
        <v>46171</v>
      </c>
      <c r="AF1" s="3">
        <v>46172</v>
      </c>
      <c r="AG1" s="3">
        <v>46173</v>
      </c>
      <c r="AH1" s="3" t="s">
        <v>2</v>
      </c>
      <c r="AI1" s="3">
        <v>46174</v>
      </c>
      <c r="AJ1" s="3">
        <v>46175</v>
      </c>
      <c r="AK1" s="3">
        <v>46176</v>
      </c>
      <c r="AL1" s="3">
        <v>46177</v>
      </c>
      <c r="AM1" s="3">
        <v>46178</v>
      </c>
      <c r="AN1" s="3">
        <v>46179</v>
      </c>
      <c r="AO1" s="3">
        <v>46180</v>
      </c>
      <c r="AP1" s="3">
        <v>46181</v>
      </c>
      <c r="AQ1" s="3">
        <v>46182</v>
      </c>
      <c r="AR1" s="3">
        <v>46183</v>
      </c>
      <c r="AS1" s="3">
        <v>46184</v>
      </c>
      <c r="AT1" s="3">
        <v>46185</v>
      </c>
      <c r="AU1" s="3">
        <v>46186</v>
      </c>
      <c r="AV1" s="3">
        <v>46187</v>
      </c>
      <c r="AW1" s="3">
        <v>46188</v>
      </c>
      <c r="AX1" s="3">
        <v>46189</v>
      </c>
      <c r="AY1" s="3">
        <v>46190</v>
      </c>
      <c r="AZ1" s="3">
        <v>46191</v>
      </c>
      <c r="BA1" s="3">
        <v>46192</v>
      </c>
      <c r="BB1" s="3">
        <v>46193</v>
      </c>
      <c r="BC1" s="3">
        <v>46194</v>
      </c>
      <c r="BD1" s="3">
        <v>46195</v>
      </c>
      <c r="BE1" s="3">
        <v>46196</v>
      </c>
      <c r="BF1" s="3">
        <v>46197</v>
      </c>
      <c r="BG1" s="3">
        <v>46198</v>
      </c>
      <c r="BH1" s="3">
        <v>46199</v>
      </c>
      <c r="BI1" s="3">
        <v>46200</v>
      </c>
      <c r="BJ1" s="3">
        <v>46201</v>
      </c>
      <c r="BK1" s="3">
        <v>46202</v>
      </c>
      <c r="BL1" s="3">
        <v>46203</v>
      </c>
      <c r="BM1" s="3" t="s">
        <v>3</v>
      </c>
      <c r="BN1" s="3">
        <v>46204</v>
      </c>
      <c r="BO1" s="3">
        <v>46205</v>
      </c>
      <c r="BP1" s="3">
        <v>46206</v>
      </c>
      <c r="BQ1" s="3">
        <v>46207</v>
      </c>
      <c r="BR1" s="3">
        <v>46208</v>
      </c>
      <c r="BS1" s="3">
        <v>46209</v>
      </c>
      <c r="BT1" s="3">
        <v>46210</v>
      </c>
      <c r="BU1" s="3">
        <v>46211</v>
      </c>
      <c r="BV1" s="3">
        <v>46212</v>
      </c>
      <c r="BW1" s="3">
        <v>46213</v>
      </c>
      <c r="BX1" s="3">
        <v>46214</v>
      </c>
      <c r="BY1" s="3">
        <v>46215</v>
      </c>
      <c r="BZ1" s="3">
        <v>46216</v>
      </c>
      <c r="CA1" s="3">
        <v>46217</v>
      </c>
      <c r="CB1" s="3">
        <v>46218</v>
      </c>
      <c r="CC1" s="3">
        <v>46219</v>
      </c>
      <c r="CD1" s="3">
        <v>46220</v>
      </c>
      <c r="CE1" s="3">
        <v>46221</v>
      </c>
      <c r="CF1" s="3">
        <v>46222</v>
      </c>
      <c r="CG1" s="3">
        <v>46223</v>
      </c>
      <c r="CH1" s="3">
        <v>46224</v>
      </c>
      <c r="CI1" s="3">
        <v>46225</v>
      </c>
      <c r="CJ1" s="3">
        <v>46226</v>
      </c>
      <c r="CK1" s="3">
        <v>46227</v>
      </c>
      <c r="CL1" s="3">
        <v>46228</v>
      </c>
      <c r="CM1" s="3">
        <v>46229</v>
      </c>
      <c r="CN1" s="3">
        <v>46230</v>
      </c>
      <c r="CO1" s="3">
        <v>46231</v>
      </c>
      <c r="CP1" s="3">
        <v>46232</v>
      </c>
      <c r="CQ1" s="3">
        <v>46233</v>
      </c>
      <c r="CR1" s="3">
        <v>46234</v>
      </c>
      <c r="CS1" s="3" t="s">
        <v>4</v>
      </c>
      <c r="CT1" s="3">
        <v>46235</v>
      </c>
      <c r="CU1" s="3">
        <v>46236</v>
      </c>
      <c r="CV1" s="3">
        <v>46237</v>
      </c>
      <c r="CW1" s="3">
        <v>46238</v>
      </c>
      <c r="CX1" s="3">
        <v>46239</v>
      </c>
      <c r="CY1" s="3">
        <v>46240</v>
      </c>
      <c r="CZ1" s="3">
        <v>46241</v>
      </c>
      <c r="DA1" s="3">
        <v>46242</v>
      </c>
      <c r="DB1" s="3">
        <v>46243</v>
      </c>
      <c r="DC1" s="3">
        <v>46244</v>
      </c>
      <c r="DD1" s="3">
        <v>46245</v>
      </c>
      <c r="DE1" s="3">
        <v>46246</v>
      </c>
      <c r="DF1" s="3">
        <v>46247</v>
      </c>
      <c r="DG1" s="3">
        <v>46248</v>
      </c>
      <c r="DH1" s="3">
        <v>46249</v>
      </c>
      <c r="DI1" s="3">
        <v>46250</v>
      </c>
      <c r="DJ1" s="3">
        <v>46251</v>
      </c>
      <c r="DK1" s="3">
        <v>46252</v>
      </c>
      <c r="DL1" s="3">
        <v>46253</v>
      </c>
      <c r="DM1" s="3">
        <v>46254</v>
      </c>
      <c r="DN1" s="3">
        <v>46255</v>
      </c>
      <c r="DO1" s="3">
        <v>46256</v>
      </c>
      <c r="DP1" s="3">
        <v>46257</v>
      </c>
      <c r="DQ1" s="3">
        <v>46258</v>
      </c>
      <c r="DR1" s="3">
        <v>46259</v>
      </c>
      <c r="DS1" s="3">
        <v>46260</v>
      </c>
      <c r="DT1" s="3">
        <v>46261</v>
      </c>
      <c r="DU1" s="3">
        <v>46262</v>
      </c>
      <c r="DV1" s="3">
        <v>46263</v>
      </c>
      <c r="DW1" s="3">
        <v>46264</v>
      </c>
      <c r="DX1" s="3">
        <v>46265</v>
      </c>
      <c r="DY1" s="3" t="s">
        <v>5</v>
      </c>
      <c r="DZ1" s="3">
        <v>46266</v>
      </c>
      <c r="EA1" s="3">
        <v>46267</v>
      </c>
      <c r="EB1" s="3">
        <v>46268</v>
      </c>
      <c r="EC1" s="3">
        <v>46269</v>
      </c>
      <c r="ED1" s="3">
        <v>46270</v>
      </c>
      <c r="EE1" s="3">
        <v>46271</v>
      </c>
      <c r="EF1" s="3">
        <v>46272</v>
      </c>
      <c r="EG1" s="3">
        <v>46273</v>
      </c>
      <c r="EH1" s="3">
        <v>46274</v>
      </c>
      <c r="EI1" s="3">
        <v>46275</v>
      </c>
      <c r="EJ1" s="3">
        <v>46276</v>
      </c>
      <c r="EK1" s="3">
        <v>46277</v>
      </c>
      <c r="EL1" s="3">
        <v>46278</v>
      </c>
      <c r="EM1" s="3">
        <v>46279</v>
      </c>
      <c r="EN1" s="3">
        <v>46280</v>
      </c>
      <c r="EO1" s="3">
        <v>46281</v>
      </c>
      <c r="EP1" s="3">
        <v>46282</v>
      </c>
      <c r="EQ1" s="3">
        <v>46283</v>
      </c>
      <c r="ER1" s="3">
        <v>46284</v>
      </c>
      <c r="ES1" s="3">
        <v>46285</v>
      </c>
      <c r="ET1" s="3">
        <v>46286</v>
      </c>
      <c r="EU1" s="3">
        <v>46287</v>
      </c>
      <c r="EV1" s="3">
        <v>46288</v>
      </c>
      <c r="EW1" s="3">
        <v>46289</v>
      </c>
      <c r="EX1" s="3">
        <v>46290</v>
      </c>
      <c r="EY1" s="3">
        <v>46291</v>
      </c>
      <c r="EZ1" s="3">
        <v>46292</v>
      </c>
      <c r="FA1" s="3">
        <v>46293</v>
      </c>
      <c r="FB1" s="3">
        <v>46294</v>
      </c>
      <c r="FC1" s="3">
        <v>46295</v>
      </c>
      <c r="FD1" s="3" t="s">
        <v>6</v>
      </c>
      <c r="FE1" s="3">
        <v>46296</v>
      </c>
      <c r="FF1" s="3">
        <v>46297</v>
      </c>
      <c r="FG1" s="3">
        <v>46298</v>
      </c>
      <c r="FH1" s="3">
        <v>46299</v>
      </c>
      <c r="FI1" s="3">
        <v>46300</v>
      </c>
      <c r="FJ1" s="3">
        <v>46301</v>
      </c>
      <c r="FK1" s="3">
        <v>46302</v>
      </c>
      <c r="FL1" s="3">
        <v>46303</v>
      </c>
      <c r="FM1" s="3">
        <v>46304</v>
      </c>
      <c r="FN1" s="3">
        <v>46305</v>
      </c>
      <c r="FO1" s="3">
        <v>46306</v>
      </c>
      <c r="FP1" s="3">
        <v>46307</v>
      </c>
      <c r="FQ1" s="3">
        <v>46308</v>
      </c>
      <c r="FR1" s="3">
        <v>46309</v>
      </c>
      <c r="FS1" s="3">
        <v>46310</v>
      </c>
      <c r="FT1" s="3">
        <v>46311</v>
      </c>
      <c r="FU1" s="3">
        <v>46312</v>
      </c>
      <c r="FV1" s="3">
        <v>46313</v>
      </c>
      <c r="FW1" s="3">
        <v>46314</v>
      </c>
      <c r="FX1" s="3">
        <v>46315</v>
      </c>
      <c r="FY1" s="3">
        <v>46316</v>
      </c>
      <c r="FZ1" s="3">
        <v>46317</v>
      </c>
      <c r="GA1" s="3">
        <v>46318</v>
      </c>
      <c r="GB1" s="3">
        <v>46319</v>
      </c>
      <c r="GC1" s="3">
        <v>46320</v>
      </c>
      <c r="GD1" s="3">
        <v>46321</v>
      </c>
      <c r="GE1" s="3">
        <v>46322</v>
      </c>
      <c r="GF1" s="3">
        <v>46323</v>
      </c>
      <c r="GG1" s="3">
        <v>46324</v>
      </c>
      <c r="GH1" s="3">
        <v>46325</v>
      </c>
      <c r="GI1" s="3">
        <v>46326</v>
      </c>
      <c r="GJ1" s="3" t="s">
        <v>7</v>
      </c>
      <c r="GK1" s="3">
        <v>46327</v>
      </c>
      <c r="GL1" s="3">
        <v>46328</v>
      </c>
      <c r="GM1" s="3">
        <v>46329</v>
      </c>
      <c r="GN1" s="3">
        <v>46330</v>
      </c>
      <c r="GO1" s="3">
        <v>46331</v>
      </c>
      <c r="GP1" s="3">
        <v>46332</v>
      </c>
      <c r="GQ1" s="3">
        <v>46333</v>
      </c>
      <c r="GR1" s="3">
        <v>46334</v>
      </c>
      <c r="GS1" s="3">
        <v>46335</v>
      </c>
      <c r="GT1" s="3">
        <v>46336</v>
      </c>
      <c r="GU1" s="3">
        <v>46337</v>
      </c>
      <c r="GV1" s="3">
        <v>46338</v>
      </c>
      <c r="GW1" s="3">
        <v>46339</v>
      </c>
      <c r="GX1" s="3">
        <v>46340</v>
      </c>
      <c r="GY1" s="3">
        <v>46341</v>
      </c>
      <c r="GZ1" s="3">
        <v>46342</v>
      </c>
      <c r="HA1" s="3">
        <v>46343</v>
      </c>
      <c r="HB1" s="3">
        <v>46344</v>
      </c>
      <c r="HC1" s="3">
        <v>46345</v>
      </c>
      <c r="HD1" s="3">
        <v>46346</v>
      </c>
      <c r="HE1" s="3">
        <v>46347</v>
      </c>
      <c r="HF1" s="3">
        <v>46348</v>
      </c>
      <c r="HG1" s="3">
        <v>46349</v>
      </c>
      <c r="HH1" s="3">
        <v>46350</v>
      </c>
      <c r="HI1" s="3">
        <v>46351</v>
      </c>
      <c r="HJ1" s="3">
        <v>46352</v>
      </c>
      <c r="HK1" s="3">
        <v>46353</v>
      </c>
      <c r="HL1" s="3">
        <v>46354</v>
      </c>
      <c r="HM1" s="3">
        <v>46355</v>
      </c>
      <c r="HN1" s="3">
        <v>46356</v>
      </c>
      <c r="HO1" s="3" t="s">
        <v>8</v>
      </c>
      <c r="HP1" s="3">
        <v>46357</v>
      </c>
      <c r="HQ1" s="3">
        <v>46358</v>
      </c>
      <c r="HR1" s="3">
        <v>46359</v>
      </c>
      <c r="HS1" s="3">
        <v>46360</v>
      </c>
      <c r="HT1" s="3">
        <v>46361</v>
      </c>
      <c r="HU1" s="3">
        <v>46362</v>
      </c>
      <c r="HV1" s="3">
        <v>46363</v>
      </c>
      <c r="HW1" s="3">
        <v>46364</v>
      </c>
      <c r="HX1" s="3">
        <v>46365</v>
      </c>
      <c r="HY1" s="3">
        <v>46366</v>
      </c>
      <c r="HZ1" s="3">
        <v>46367</v>
      </c>
      <c r="IA1" s="3">
        <v>46368</v>
      </c>
      <c r="IB1" s="3">
        <v>46369</v>
      </c>
      <c r="IC1" s="3">
        <v>46370</v>
      </c>
      <c r="ID1" s="3">
        <v>46371</v>
      </c>
      <c r="IE1" s="3">
        <v>46372</v>
      </c>
      <c r="IF1" s="3">
        <v>46373</v>
      </c>
      <c r="IG1" s="3">
        <v>46374</v>
      </c>
      <c r="IH1" s="3">
        <v>46375</v>
      </c>
      <c r="II1" s="3">
        <v>46376</v>
      </c>
      <c r="IJ1" s="3">
        <v>46377</v>
      </c>
      <c r="IK1" s="3">
        <v>46378</v>
      </c>
      <c r="IL1" s="3">
        <v>46379</v>
      </c>
      <c r="IM1" s="3">
        <v>46380</v>
      </c>
      <c r="IN1" s="3">
        <v>46381</v>
      </c>
      <c r="IO1" s="3">
        <v>46382</v>
      </c>
      <c r="IP1" s="3">
        <v>46383</v>
      </c>
      <c r="IQ1" s="3">
        <v>46384</v>
      </c>
      <c r="IR1" s="3">
        <v>46385</v>
      </c>
      <c r="IS1" s="3">
        <v>46386</v>
      </c>
      <c r="IT1" s="3">
        <v>46387</v>
      </c>
      <c r="IU1" s="4" t="s">
        <v>9</v>
      </c>
      <c r="IV1" t="s">
        <v>10</v>
      </c>
    </row>
    <row r="2" ht="88.200000000000003" customHeight="1">
      <c r="A2" s="5" t="s">
        <v>39</v>
      </c>
      <c r="B2" s="2" t="s">
        <v>12</v>
      </c>
      <c r="C2" s="6">
        <v>317</v>
      </c>
      <c r="AH2" s="7">
        <f t="shared" ref="AH2:AH9" si="36">SUM(C2:AG2)</f>
        <v>317</v>
      </c>
      <c r="AI2" s="1">
        <v>46.420000000000002</v>
      </c>
      <c r="AK2">
        <v>16.57</v>
      </c>
      <c r="AM2">
        <v>43.950000000000003</v>
      </c>
      <c r="AP2">
        <v>38.630000000000003</v>
      </c>
      <c r="AR2">
        <v>299.5</v>
      </c>
      <c r="AT2">
        <v>88.620000000000005</v>
      </c>
      <c r="AW2">
        <v>42.909999999999997</v>
      </c>
      <c r="AX2">
        <v>65.359999999999999</v>
      </c>
      <c r="BD2">
        <v>48.409999999999997</v>
      </c>
      <c r="BE2">
        <v>26.98</v>
      </c>
      <c r="BF2">
        <v>132.21000000000001</v>
      </c>
      <c r="BG2">
        <v>74.799999999999997</v>
      </c>
      <c r="BH2">
        <v>156.36000000000001</v>
      </c>
      <c r="BK2">
        <v>46.32</v>
      </c>
      <c r="BL2">
        <v>0.34999999999999998</v>
      </c>
      <c r="BM2" s="1">
        <f t="shared" ref="BM2:BM9" si="37">SUM(AI2:BL2)</f>
        <v>1127.3899999999999</v>
      </c>
      <c r="BN2">
        <v>58.009999999999998</v>
      </c>
      <c r="BO2">
        <v>63.729999999999997</v>
      </c>
      <c r="BT2">
        <v>1.5</v>
      </c>
      <c r="BU2">
        <v>29.559999999999999</v>
      </c>
      <c r="CA2">
        <v>117.66</v>
      </c>
      <c r="CB2">
        <v>59.920000000000002</v>
      </c>
      <c r="CG2">
        <v>93.480000000000004</v>
      </c>
      <c r="CH2">
        <v>5.46</v>
      </c>
      <c r="CK2">
        <v>81.540000000000006</v>
      </c>
      <c r="CS2" s="1">
        <f t="shared" ref="CS2:CS9" si="38">SUM(BN2:CR2)</f>
        <v>510.86000000000001</v>
      </c>
      <c r="DK2">
        <v>59.119999999999997</v>
      </c>
      <c r="DL2" t="s">
        <v>41</v>
      </c>
      <c r="DM2">
        <v>28.129999999999999</v>
      </c>
      <c r="DQ2">
        <v>93.040000000000006</v>
      </c>
      <c r="DR2">
        <v>89.659999999999997</v>
      </c>
      <c r="DS2">
        <v>11.65</v>
      </c>
      <c r="DY2" s="1">
        <f t="shared" ref="DY2:DY9" si="39">SUM(CT2:DX2)</f>
        <v>281.60000000000002</v>
      </c>
      <c r="EB2">
        <v>69.920000000000002</v>
      </c>
      <c r="EC2">
        <v>8.5199999999999996</v>
      </c>
      <c r="EG2">
        <v>145.41999999999999</v>
      </c>
      <c r="EH2">
        <v>422.12</v>
      </c>
      <c r="EI2">
        <v>91.510000000000005</v>
      </c>
      <c r="EN2">
        <v>37.229999999999997</v>
      </c>
      <c r="EQ2">
        <v>94.659999999999997</v>
      </c>
      <c r="EU2">
        <v>74.200000000000003</v>
      </c>
      <c r="FD2" s="1">
        <f t="shared" ref="FD2:FD9" si="40">SUM(DZ2:FC2)</f>
        <v>943.58000000000004</v>
      </c>
      <c r="FE2">
        <v>32.939999999999998</v>
      </c>
      <c r="GJ2" s="1">
        <f t="shared" ref="GJ2:GJ9" si="41">SUM(FE2:GI2)</f>
        <v>32.939999999999998</v>
      </c>
      <c r="HO2" s="1">
        <f>SUM(GK2:HN2)</f>
        <v>0</v>
      </c>
      <c r="IT2">
        <v>1500</v>
      </c>
      <c r="IU2" s="1">
        <f t="shared" ref="IU2:IU9" si="42">SUM(HP2:IT2)</f>
        <v>1500</v>
      </c>
      <c r="IV2">
        <f t="shared" ref="IV2:IV9" si="43">SUM(AH2,BM2,CS2,DY2,FD2,GJ2,HO2,IU2)</f>
        <v>4713.3699999999999</v>
      </c>
    </row>
    <row r="3" ht="32.399999999999999" customHeight="1">
      <c r="A3" s="5" t="s">
        <v>15</v>
      </c>
      <c r="B3" s="2" t="s">
        <v>16</v>
      </c>
      <c r="C3" s="1">
        <v>29</v>
      </c>
      <c r="AH3" s="7">
        <f t="shared" si="36"/>
        <v>29</v>
      </c>
      <c r="AI3" s="1"/>
      <c r="AK3">
        <v>1</v>
      </c>
      <c r="AM3">
        <v>1</v>
      </c>
      <c r="AT3">
        <v>1</v>
      </c>
      <c r="AW3">
        <v>2</v>
      </c>
      <c r="BM3" s="1">
        <f t="shared" si="37"/>
        <v>5</v>
      </c>
      <c r="BN3">
        <v>1</v>
      </c>
      <c r="BT3">
        <v>1</v>
      </c>
      <c r="BV3">
        <v>4</v>
      </c>
      <c r="CC3">
        <v>3</v>
      </c>
      <c r="CJ3">
        <v>3</v>
      </c>
      <c r="CS3" s="1">
        <f t="shared" si="38"/>
        <v>12</v>
      </c>
      <c r="DJ3">
        <v>3</v>
      </c>
      <c r="DK3">
        <v>1</v>
      </c>
      <c r="DM3">
        <v>8</v>
      </c>
      <c r="DN3">
        <v>1</v>
      </c>
      <c r="DQ3">
        <v>2</v>
      </c>
      <c r="DR3">
        <v>1</v>
      </c>
      <c r="DS3">
        <v>1</v>
      </c>
      <c r="DT3">
        <v>3</v>
      </c>
      <c r="DY3" s="1">
        <f t="shared" si="39"/>
        <v>20</v>
      </c>
      <c r="EA3">
        <v>1</v>
      </c>
      <c r="EB3">
        <v>1</v>
      </c>
      <c r="EF3">
        <v>1</v>
      </c>
      <c r="EH3">
        <v>1</v>
      </c>
      <c r="EP3">
        <v>1</v>
      </c>
      <c r="ET3">
        <v>1</v>
      </c>
      <c r="EU3">
        <v>1</v>
      </c>
      <c r="FC3">
        <v>1</v>
      </c>
      <c r="FD3" s="1">
        <f t="shared" si="40"/>
        <v>8</v>
      </c>
      <c r="GJ3" s="1">
        <f t="shared" si="41"/>
        <v>0</v>
      </c>
      <c r="IT3">
        <v>51</v>
      </c>
      <c r="IU3" s="1">
        <f t="shared" si="42"/>
        <v>51</v>
      </c>
      <c r="IV3">
        <f t="shared" si="43"/>
        <v>125</v>
      </c>
    </row>
    <row r="4" ht="32.399999999999999" customHeight="1">
      <c r="A4" s="5" t="s">
        <v>17</v>
      </c>
      <c r="B4" s="2" t="s">
        <v>16</v>
      </c>
      <c r="C4" s="1">
        <v>97</v>
      </c>
      <c r="AH4" s="7">
        <f t="shared" si="36"/>
        <v>97</v>
      </c>
      <c r="AL4">
        <v>2</v>
      </c>
      <c r="AM4">
        <v>2</v>
      </c>
      <c r="AS4">
        <v>5</v>
      </c>
      <c r="AT4">
        <v>2</v>
      </c>
      <c r="AX4">
        <v>5</v>
      </c>
      <c r="BA4">
        <v>5</v>
      </c>
      <c r="BG4">
        <v>7</v>
      </c>
      <c r="BK4">
        <v>3</v>
      </c>
      <c r="BM4" s="1">
        <f t="shared" si="37"/>
        <v>31</v>
      </c>
      <c r="BN4">
        <v>19</v>
      </c>
      <c r="BS4">
        <v>3</v>
      </c>
      <c r="BT4">
        <v>17</v>
      </c>
      <c r="BV4">
        <v>4</v>
      </c>
      <c r="BW4">
        <v>4</v>
      </c>
      <c r="CA4">
        <v>5</v>
      </c>
      <c r="CC4">
        <v>6</v>
      </c>
      <c r="CG4">
        <v>4</v>
      </c>
      <c r="CH4">
        <v>2</v>
      </c>
      <c r="CJ4">
        <v>5</v>
      </c>
      <c r="CS4" s="1">
        <f t="shared" si="38"/>
        <v>69</v>
      </c>
      <c r="DJ4">
        <v>4</v>
      </c>
      <c r="DQ4">
        <v>10</v>
      </c>
      <c r="DR4">
        <v>1</v>
      </c>
      <c r="DU4">
        <v>14</v>
      </c>
      <c r="DY4" s="1">
        <f t="shared" si="39"/>
        <v>29</v>
      </c>
      <c r="EA4">
        <v>1</v>
      </c>
      <c r="EC4">
        <v>1</v>
      </c>
      <c r="EH4">
        <v>3</v>
      </c>
      <c r="EM4">
        <v>1</v>
      </c>
      <c r="EO4">
        <v>2</v>
      </c>
      <c r="EQ4">
        <v>1</v>
      </c>
      <c r="ET4">
        <v>2</v>
      </c>
      <c r="EU4">
        <v>5</v>
      </c>
      <c r="FB4">
        <v>3</v>
      </c>
      <c r="FC4">
        <v>5</v>
      </c>
      <c r="FD4" s="1">
        <f t="shared" si="40"/>
        <v>24</v>
      </c>
      <c r="FF4">
        <v>3</v>
      </c>
      <c r="GJ4" s="1">
        <f t="shared" si="41"/>
        <v>3</v>
      </c>
      <c r="IT4">
        <v>128</v>
      </c>
      <c r="IU4" s="1">
        <f t="shared" si="42"/>
        <v>128</v>
      </c>
      <c r="IV4">
        <f t="shared" si="43"/>
        <v>381</v>
      </c>
    </row>
    <row r="5" ht="32.399999999999999" customHeight="1">
      <c r="A5" s="5" t="s">
        <v>18</v>
      </c>
      <c r="B5" s="2" t="s">
        <v>16</v>
      </c>
      <c r="C5" s="1">
        <v>92</v>
      </c>
      <c r="AH5" s="7">
        <f t="shared" si="36"/>
        <v>92</v>
      </c>
      <c r="AS5">
        <v>6</v>
      </c>
      <c r="AT5">
        <v>2</v>
      </c>
      <c r="AX5">
        <v>5</v>
      </c>
      <c r="BA5">
        <v>5</v>
      </c>
      <c r="BG5">
        <v>8</v>
      </c>
      <c r="BK5">
        <v>4</v>
      </c>
      <c r="BM5" s="1">
        <f t="shared" si="37"/>
        <v>30</v>
      </c>
      <c r="BN5">
        <v>14</v>
      </c>
      <c r="BS5">
        <v>2</v>
      </c>
      <c r="BT5">
        <v>17</v>
      </c>
      <c r="BV5">
        <v>6</v>
      </c>
      <c r="BW5">
        <v>3</v>
      </c>
      <c r="BZ5">
        <v>1</v>
      </c>
      <c r="CA5">
        <v>7</v>
      </c>
      <c r="CC5">
        <v>11</v>
      </c>
      <c r="CG5">
        <v>2</v>
      </c>
      <c r="CH5">
        <v>4</v>
      </c>
      <c r="CJ5">
        <v>4</v>
      </c>
      <c r="CS5" s="1">
        <f t="shared" si="38"/>
        <v>71</v>
      </c>
      <c r="DJ5">
        <v>3</v>
      </c>
      <c r="DQ5">
        <v>11</v>
      </c>
      <c r="DR5">
        <v>1</v>
      </c>
      <c r="DU5">
        <v>6</v>
      </c>
      <c r="DY5" s="1">
        <f t="shared" si="39"/>
        <v>21</v>
      </c>
      <c r="EA5">
        <v>1</v>
      </c>
      <c r="EC5">
        <v>1</v>
      </c>
      <c r="EH5">
        <v>5</v>
      </c>
      <c r="EM5">
        <v>2</v>
      </c>
      <c r="EO5">
        <v>1</v>
      </c>
      <c r="EQ5">
        <v>2</v>
      </c>
      <c r="ET5">
        <v>4</v>
      </c>
      <c r="EU5">
        <v>7</v>
      </c>
      <c r="FB5">
        <v>3</v>
      </c>
      <c r="FC5">
        <v>5</v>
      </c>
      <c r="FD5" s="1">
        <f t="shared" si="40"/>
        <v>31</v>
      </c>
      <c r="FF5">
        <v>4</v>
      </c>
      <c r="GJ5" s="1">
        <f t="shared" si="41"/>
        <v>4</v>
      </c>
      <c r="IT5">
        <v>129</v>
      </c>
      <c r="IU5" s="1">
        <f t="shared" si="42"/>
        <v>129</v>
      </c>
      <c r="IV5">
        <f t="shared" si="43"/>
        <v>378</v>
      </c>
    </row>
    <row r="6" ht="32.399999999999999" customHeight="1">
      <c r="A6" s="5" t="s">
        <v>19</v>
      </c>
      <c r="B6" s="2" t="s">
        <v>16</v>
      </c>
      <c r="C6" s="1">
        <v>16</v>
      </c>
      <c r="AH6" s="7">
        <f t="shared" si="36"/>
        <v>16</v>
      </c>
      <c r="AL6">
        <v>2</v>
      </c>
      <c r="BD6">
        <v>1</v>
      </c>
      <c r="BM6" s="1">
        <f t="shared" si="37"/>
        <v>3</v>
      </c>
      <c r="BT6">
        <v>1</v>
      </c>
      <c r="BU6">
        <v>3</v>
      </c>
      <c r="BZ6">
        <v>2</v>
      </c>
      <c r="CC6">
        <v>3</v>
      </c>
      <c r="CD6">
        <v>3</v>
      </c>
      <c r="CJ6">
        <v>3</v>
      </c>
      <c r="CK6">
        <v>4</v>
      </c>
      <c r="CS6" s="1">
        <f t="shared" si="38"/>
        <v>19</v>
      </c>
      <c r="DJ6">
        <v>1</v>
      </c>
      <c r="DN6">
        <v>1</v>
      </c>
      <c r="DU6">
        <v>1</v>
      </c>
      <c r="DX6">
        <v>2</v>
      </c>
      <c r="DY6" s="1">
        <f t="shared" si="39"/>
        <v>5</v>
      </c>
      <c r="DZ6">
        <v>1</v>
      </c>
      <c r="EA6">
        <v>1</v>
      </c>
      <c r="EJ6">
        <v>2</v>
      </c>
      <c r="EM6">
        <v>3</v>
      </c>
      <c r="EO6">
        <v>4</v>
      </c>
      <c r="FD6" s="1">
        <f t="shared" si="40"/>
        <v>11</v>
      </c>
      <c r="GJ6" s="1">
        <f t="shared" si="41"/>
        <v>0</v>
      </c>
      <c r="IT6">
        <v>30</v>
      </c>
      <c r="IU6" s="1">
        <f t="shared" si="42"/>
        <v>30</v>
      </c>
      <c r="IV6">
        <f t="shared" si="43"/>
        <v>84</v>
      </c>
    </row>
    <row r="7" ht="32.399999999999999" customHeight="1">
      <c r="A7" s="5" t="s">
        <v>20</v>
      </c>
      <c r="B7" s="2" t="s">
        <v>16</v>
      </c>
      <c r="C7" s="1">
        <v>11</v>
      </c>
      <c r="AH7" s="7">
        <f t="shared" si="36"/>
        <v>11</v>
      </c>
      <c r="AI7" s="1"/>
      <c r="AJ7">
        <v>1</v>
      </c>
      <c r="AL7">
        <v>3</v>
      </c>
      <c r="AM7">
        <v>1</v>
      </c>
      <c r="AP7">
        <v>2</v>
      </c>
      <c r="AS7">
        <v>1</v>
      </c>
      <c r="BD7">
        <v>1</v>
      </c>
      <c r="BH7">
        <v>2</v>
      </c>
      <c r="BM7" s="1">
        <f t="shared" si="37"/>
        <v>11</v>
      </c>
      <c r="BS7">
        <v>1</v>
      </c>
      <c r="BT7">
        <v>2</v>
      </c>
      <c r="BU7">
        <v>2</v>
      </c>
      <c r="BV7">
        <v>1</v>
      </c>
      <c r="BZ7">
        <v>1</v>
      </c>
      <c r="CB7">
        <v>1</v>
      </c>
      <c r="CC7">
        <v>11</v>
      </c>
      <c r="CD7">
        <v>4</v>
      </c>
      <c r="CG7">
        <v>1</v>
      </c>
      <c r="CH7">
        <v>1</v>
      </c>
      <c r="CJ7">
        <v>3</v>
      </c>
      <c r="CS7" s="1">
        <f t="shared" si="38"/>
        <v>28</v>
      </c>
      <c r="DX7">
        <v>1</v>
      </c>
      <c r="DY7" s="1">
        <f t="shared" si="39"/>
        <v>1</v>
      </c>
      <c r="DZ7">
        <v>1</v>
      </c>
      <c r="EA7">
        <v>1</v>
      </c>
      <c r="EI7">
        <v>1</v>
      </c>
      <c r="EJ7">
        <v>2</v>
      </c>
      <c r="EM7">
        <v>4</v>
      </c>
      <c r="EN7">
        <v>4</v>
      </c>
      <c r="EO7">
        <v>2</v>
      </c>
      <c r="FD7" s="1">
        <f t="shared" si="40"/>
        <v>15</v>
      </c>
      <c r="GJ7" s="1">
        <f t="shared" si="41"/>
        <v>0</v>
      </c>
      <c r="IT7">
        <v>31</v>
      </c>
      <c r="IU7" s="1">
        <f t="shared" si="42"/>
        <v>31</v>
      </c>
      <c r="IV7">
        <f t="shared" si="43"/>
        <v>97</v>
      </c>
    </row>
    <row r="8" ht="32.399999999999999" customHeight="1">
      <c r="A8" s="5" t="s">
        <v>21</v>
      </c>
      <c r="B8" s="2" t="s">
        <v>22</v>
      </c>
      <c r="AH8" s="7">
        <f t="shared" si="36"/>
        <v>0</v>
      </c>
      <c r="BM8" s="1">
        <f t="shared" si="37"/>
        <v>0</v>
      </c>
      <c r="CS8" s="1">
        <f t="shared" si="38"/>
        <v>0</v>
      </c>
      <c r="DM8">
        <v>4</v>
      </c>
      <c r="DU8">
        <v>1</v>
      </c>
      <c r="DY8" s="1">
        <f t="shared" si="39"/>
        <v>5</v>
      </c>
      <c r="ET8">
        <v>1</v>
      </c>
      <c r="FD8" s="1">
        <f t="shared" si="40"/>
        <v>1</v>
      </c>
      <c r="GJ8" s="1">
        <f t="shared" si="41"/>
        <v>0</v>
      </c>
      <c r="IT8">
        <v>5</v>
      </c>
      <c r="IU8" s="1">
        <f t="shared" si="42"/>
        <v>5</v>
      </c>
      <c r="IV8">
        <f t="shared" si="43"/>
        <v>11</v>
      </c>
    </row>
    <row r="9" ht="32.399999999999999" customHeight="1">
      <c r="A9" s="5" t="s">
        <v>23</v>
      </c>
      <c r="B9" s="2" t="s">
        <v>16</v>
      </c>
      <c r="C9" s="1">
        <v>443</v>
      </c>
      <c r="AH9" s="7">
        <f t="shared" si="36"/>
        <v>443</v>
      </c>
      <c r="AI9" s="1">
        <v>6</v>
      </c>
      <c r="AJ9">
        <v>8</v>
      </c>
      <c r="AK9">
        <v>18</v>
      </c>
      <c r="AL9">
        <v>7</v>
      </c>
      <c r="AM9">
        <v>12</v>
      </c>
      <c r="AP9">
        <v>11</v>
      </c>
      <c r="AQ9">
        <v>15</v>
      </c>
      <c r="AS9">
        <v>14</v>
      </c>
      <c r="AT9">
        <v>21</v>
      </c>
      <c r="AW9">
        <v>7</v>
      </c>
      <c r="AX9">
        <v>16</v>
      </c>
      <c r="AZ9">
        <v>7</v>
      </c>
      <c r="BA9">
        <v>27</v>
      </c>
      <c r="BD9">
        <v>26</v>
      </c>
      <c r="BE9">
        <v>16</v>
      </c>
      <c r="BF9">
        <v>24</v>
      </c>
      <c r="BG9">
        <v>22</v>
      </c>
      <c r="BH9">
        <v>24</v>
      </c>
      <c r="BK9">
        <v>12</v>
      </c>
      <c r="BL9">
        <v>4</v>
      </c>
      <c r="BM9" s="1">
        <f t="shared" si="37"/>
        <v>297</v>
      </c>
      <c r="BN9">
        <v>23</v>
      </c>
      <c r="BO9">
        <v>15</v>
      </c>
      <c r="BT9">
        <v>4</v>
      </c>
      <c r="BU9">
        <v>14</v>
      </c>
      <c r="BV9">
        <v>17</v>
      </c>
      <c r="BW9">
        <v>2</v>
      </c>
      <c r="BZ9">
        <v>2</v>
      </c>
      <c r="CA9">
        <v>12</v>
      </c>
      <c r="CB9">
        <v>28</v>
      </c>
      <c r="CD9">
        <v>60</v>
      </c>
      <c r="CG9">
        <v>22</v>
      </c>
      <c r="CH9">
        <v>6</v>
      </c>
      <c r="CI9">
        <v>5</v>
      </c>
      <c r="CJ9">
        <v>19</v>
      </c>
      <c r="CK9">
        <v>9</v>
      </c>
      <c r="CS9" s="1">
        <f t="shared" si="38"/>
        <v>238</v>
      </c>
      <c r="DJ9">
        <v>2</v>
      </c>
      <c r="DK9">
        <v>15</v>
      </c>
      <c r="DM9">
        <v>46</v>
      </c>
      <c r="DN9">
        <v>60</v>
      </c>
      <c r="DQ9">
        <v>23</v>
      </c>
      <c r="DR9">
        <v>34</v>
      </c>
      <c r="DS9">
        <v>45</v>
      </c>
      <c r="DT9">
        <v>52</v>
      </c>
      <c r="DU9">
        <v>22</v>
      </c>
      <c r="DX9">
        <v>32</v>
      </c>
      <c r="DY9" s="1">
        <f t="shared" si="39"/>
        <v>331</v>
      </c>
      <c r="DZ9">
        <v>60</v>
      </c>
      <c r="EA9">
        <v>33</v>
      </c>
      <c r="EB9">
        <v>23</v>
      </c>
      <c r="EC9">
        <v>6</v>
      </c>
      <c r="EF9">
        <v>1</v>
      </c>
      <c r="EG9">
        <v>22</v>
      </c>
      <c r="EH9">
        <v>6</v>
      </c>
      <c r="EI9">
        <v>20</v>
      </c>
      <c r="EJ9">
        <v>31</v>
      </c>
      <c r="EM9">
        <v>22</v>
      </c>
      <c r="EN9">
        <v>55</v>
      </c>
      <c r="EO9">
        <v>39</v>
      </c>
      <c r="EP9">
        <v>16</v>
      </c>
      <c r="ET9">
        <v>4</v>
      </c>
      <c r="EU9">
        <v>20</v>
      </c>
      <c r="FB9">
        <v>5</v>
      </c>
      <c r="FC9">
        <v>100</v>
      </c>
      <c r="FD9" s="1">
        <f t="shared" si="40"/>
        <v>463</v>
      </c>
      <c r="FE9">
        <v>95</v>
      </c>
      <c r="FF9">
        <v>37</v>
      </c>
      <c r="GJ9" s="1">
        <f t="shared" si="41"/>
        <v>132</v>
      </c>
      <c r="IT9">
        <v>433</v>
      </c>
      <c r="IU9" s="1">
        <f t="shared" si="42"/>
        <v>433</v>
      </c>
      <c r="IV9">
        <f t="shared" si="43"/>
        <v>2337</v>
      </c>
    </row>
    <row r="10" ht="32.399999999999999" customHeight="1">
      <c r="A10" s="5" t="s">
        <v>24</v>
      </c>
      <c r="B10" s="2" t="s">
        <v>16</v>
      </c>
      <c r="C10" s="1">
        <v>218</v>
      </c>
      <c r="AH10" s="7">
        <f t="shared" ref="AH10:AH23" si="44">SUM(C10:AG10)</f>
        <v>218</v>
      </c>
      <c r="AI10" s="1">
        <v>3</v>
      </c>
      <c r="AJ10">
        <v>4</v>
      </c>
      <c r="AK10">
        <v>8</v>
      </c>
      <c r="AL10">
        <v>5</v>
      </c>
      <c r="AM10">
        <v>6</v>
      </c>
      <c r="AP10">
        <v>5</v>
      </c>
      <c r="AQ10">
        <v>7</v>
      </c>
      <c r="AS10">
        <v>6</v>
      </c>
      <c r="AT10">
        <v>10</v>
      </c>
      <c r="AW10">
        <v>4</v>
      </c>
      <c r="AX10">
        <v>7</v>
      </c>
      <c r="BA10">
        <v>3</v>
      </c>
      <c r="BD10">
        <v>8</v>
      </c>
      <c r="BE10">
        <v>6</v>
      </c>
      <c r="BF10">
        <v>12</v>
      </c>
      <c r="BG10">
        <v>12</v>
      </c>
      <c r="BH10">
        <v>12</v>
      </c>
      <c r="BK10">
        <v>6</v>
      </c>
      <c r="BL10">
        <v>1</v>
      </c>
      <c r="BM10" s="1">
        <f t="shared" ref="BM10:BM23" si="45">SUM(AI10:BL10)</f>
        <v>125</v>
      </c>
      <c r="BN10">
        <v>11</v>
      </c>
      <c r="BO10">
        <v>6</v>
      </c>
      <c r="BT10">
        <v>1</v>
      </c>
      <c r="BU10">
        <v>9</v>
      </c>
      <c r="BV10">
        <v>11</v>
      </c>
      <c r="BW10">
        <v>2</v>
      </c>
      <c r="BZ10">
        <v>2</v>
      </c>
      <c r="CA10">
        <v>6</v>
      </c>
      <c r="CB10">
        <v>14</v>
      </c>
      <c r="CD10">
        <v>8</v>
      </c>
      <c r="CG10">
        <v>10</v>
      </c>
      <c r="CH10">
        <v>3</v>
      </c>
      <c r="CI10">
        <v>5</v>
      </c>
      <c r="CJ10">
        <v>19</v>
      </c>
      <c r="CK10">
        <v>3</v>
      </c>
      <c r="CS10" s="1">
        <f t="shared" ref="CS10:CS18" si="46">SUM(BN10:CR10)</f>
        <v>110</v>
      </c>
      <c r="DJ10">
        <v>1</v>
      </c>
      <c r="DK10">
        <v>6</v>
      </c>
      <c r="DM10">
        <v>13</v>
      </c>
      <c r="DN10">
        <v>20</v>
      </c>
      <c r="DQ10">
        <v>10</v>
      </c>
      <c r="DR10">
        <v>15</v>
      </c>
      <c r="DS10">
        <v>20</v>
      </c>
      <c r="DT10">
        <v>31</v>
      </c>
      <c r="DU10">
        <v>7</v>
      </c>
      <c r="DX10">
        <v>14</v>
      </c>
      <c r="DY10" s="1">
        <f t="shared" ref="DY10:DY18" si="47">SUM(CT10:DX10)</f>
        <v>137</v>
      </c>
      <c r="DZ10">
        <v>26</v>
      </c>
      <c r="EA10">
        <v>16</v>
      </c>
      <c r="EB10">
        <v>11</v>
      </c>
      <c r="EC10">
        <v>3</v>
      </c>
      <c r="EF10">
        <v>1</v>
      </c>
      <c r="EG10">
        <v>10</v>
      </c>
      <c r="EH10">
        <v>11</v>
      </c>
      <c r="EI10">
        <v>10</v>
      </c>
      <c r="EJ10">
        <v>19</v>
      </c>
      <c r="EM10">
        <v>33</v>
      </c>
      <c r="EN10">
        <v>33</v>
      </c>
      <c r="EO10">
        <v>21</v>
      </c>
      <c r="EP10">
        <v>9</v>
      </c>
      <c r="ET10">
        <v>1</v>
      </c>
      <c r="EU10">
        <v>8</v>
      </c>
      <c r="FB10">
        <v>3</v>
      </c>
      <c r="FC10">
        <v>48</v>
      </c>
      <c r="FD10" s="1">
        <f t="shared" ref="FD10:FD18" si="48">SUM(DZ10:FC10)</f>
        <v>263</v>
      </c>
      <c r="FE10">
        <v>46</v>
      </c>
      <c r="FF10">
        <v>16</v>
      </c>
      <c r="GJ10" s="1">
        <f t="shared" ref="GJ10:GJ18" si="49">SUM(FE10:GI10)</f>
        <v>62</v>
      </c>
      <c r="IT10">
        <v>409</v>
      </c>
      <c r="IU10" s="1">
        <f t="shared" ref="IU10:IU18" si="50">SUM(HP10:IT10)</f>
        <v>409</v>
      </c>
      <c r="IV10">
        <f t="shared" ref="IV10:IV18" si="51">SUM(AH10,BM10,CS10,DY10,FD10,GJ10,HO10,IU10)</f>
        <v>1324</v>
      </c>
    </row>
    <row r="11" ht="32.399999999999999" customHeight="1">
      <c r="A11" s="5" t="s">
        <v>25</v>
      </c>
      <c r="B11" s="2" t="s">
        <v>16</v>
      </c>
      <c r="AH11" s="7">
        <f t="shared" si="44"/>
        <v>0</v>
      </c>
      <c r="BM11" s="1">
        <f t="shared" si="45"/>
        <v>0</v>
      </c>
      <c r="CS11" s="1">
        <f t="shared" si="46"/>
        <v>0</v>
      </c>
      <c r="DY11" s="1">
        <f t="shared" si="47"/>
        <v>0</v>
      </c>
      <c r="FD11" s="1">
        <f t="shared" si="48"/>
        <v>0</v>
      </c>
      <c r="GJ11" s="1">
        <f t="shared" si="49"/>
        <v>0</v>
      </c>
      <c r="IT11">
        <v>220</v>
      </c>
      <c r="IU11" s="1">
        <f t="shared" si="50"/>
        <v>220</v>
      </c>
      <c r="IV11">
        <f t="shared" si="51"/>
        <v>220</v>
      </c>
    </row>
    <row r="12" ht="32.399999999999999" customHeight="1">
      <c r="A12" s="5" t="s">
        <v>26</v>
      </c>
      <c r="B12" s="2" t="s">
        <v>16</v>
      </c>
      <c r="C12" s="1">
        <v>3</v>
      </c>
      <c r="AH12" s="7">
        <f t="shared" si="44"/>
        <v>3</v>
      </c>
      <c r="AM12">
        <v>1</v>
      </c>
      <c r="BM12" s="1">
        <f t="shared" si="45"/>
        <v>1</v>
      </c>
      <c r="CS12" s="1">
        <f t="shared" si="46"/>
        <v>0</v>
      </c>
      <c r="DY12" s="1">
        <f t="shared" si="47"/>
        <v>0</v>
      </c>
      <c r="EH12">
        <v>1</v>
      </c>
      <c r="FC12">
        <v>2</v>
      </c>
      <c r="FD12" s="1">
        <f t="shared" si="48"/>
        <v>3</v>
      </c>
      <c r="GJ12" s="1">
        <f t="shared" si="49"/>
        <v>0</v>
      </c>
      <c r="IT12">
        <v>6</v>
      </c>
      <c r="IU12" s="1">
        <f t="shared" si="50"/>
        <v>6</v>
      </c>
      <c r="IV12">
        <f t="shared" si="51"/>
        <v>13</v>
      </c>
    </row>
    <row r="13" ht="32.399999999999999" customHeight="1">
      <c r="A13" s="5" t="s">
        <v>27</v>
      </c>
      <c r="B13" s="2" t="s">
        <v>16</v>
      </c>
      <c r="C13" s="1">
        <v>19</v>
      </c>
      <c r="AH13" s="7">
        <f t="shared" si="44"/>
        <v>19</v>
      </c>
      <c r="AQ13">
        <v>3</v>
      </c>
      <c r="BM13" s="1">
        <f t="shared" si="45"/>
        <v>3</v>
      </c>
      <c r="CS13" s="1">
        <f t="shared" si="46"/>
        <v>0</v>
      </c>
      <c r="DY13" s="1">
        <f t="shared" si="47"/>
        <v>0</v>
      </c>
      <c r="FD13" s="1">
        <f t="shared" si="48"/>
        <v>0</v>
      </c>
      <c r="GJ13" s="1">
        <f t="shared" si="49"/>
        <v>0</v>
      </c>
      <c r="IT13">
        <v>156</v>
      </c>
      <c r="IU13" s="1">
        <f t="shared" si="50"/>
        <v>156</v>
      </c>
      <c r="IV13">
        <f t="shared" si="51"/>
        <v>178</v>
      </c>
    </row>
    <row r="14" ht="32.399999999999999" customHeight="1">
      <c r="A14" s="5" t="s">
        <v>28</v>
      </c>
      <c r="B14" s="2" t="s">
        <v>16</v>
      </c>
      <c r="C14" s="1">
        <v>196</v>
      </c>
      <c r="AH14" s="7">
        <f t="shared" si="44"/>
        <v>196</v>
      </c>
      <c r="BM14" s="1">
        <f t="shared" si="45"/>
        <v>0</v>
      </c>
      <c r="CS14" s="1">
        <f t="shared" si="46"/>
        <v>0</v>
      </c>
      <c r="DY14" s="1">
        <f t="shared" si="47"/>
        <v>0</v>
      </c>
      <c r="FD14" s="1">
        <f t="shared" si="48"/>
        <v>0</v>
      </c>
      <c r="GJ14" s="1">
        <f t="shared" si="49"/>
        <v>0</v>
      </c>
      <c r="IT14">
        <v>108</v>
      </c>
      <c r="IU14" s="1">
        <f t="shared" si="50"/>
        <v>108</v>
      </c>
      <c r="IV14">
        <f t="shared" si="51"/>
        <v>304</v>
      </c>
    </row>
    <row r="15" ht="32.399999999999999" customHeight="1">
      <c r="A15" s="5" t="s">
        <v>29</v>
      </c>
      <c r="B15" s="2" t="s">
        <v>16</v>
      </c>
      <c r="AH15" s="7">
        <f t="shared" si="44"/>
        <v>0</v>
      </c>
      <c r="AI15" s="1"/>
      <c r="AJ15">
        <v>4</v>
      </c>
      <c r="AK15">
        <v>1</v>
      </c>
      <c r="AL15">
        <v>33</v>
      </c>
      <c r="AM15">
        <v>2</v>
      </c>
      <c r="AP15">
        <v>2</v>
      </c>
      <c r="AQ15">
        <v>24</v>
      </c>
      <c r="AR15">
        <v>12</v>
      </c>
      <c r="AT15">
        <v>4</v>
      </c>
      <c r="AW15">
        <v>29</v>
      </c>
      <c r="AX15">
        <v>3</v>
      </c>
      <c r="BA15">
        <v>9</v>
      </c>
      <c r="BD15">
        <v>2</v>
      </c>
      <c r="BE15">
        <v>3</v>
      </c>
      <c r="BF15">
        <v>4</v>
      </c>
      <c r="BG15">
        <v>4</v>
      </c>
      <c r="BH15">
        <v>4</v>
      </c>
      <c r="BK15">
        <v>2</v>
      </c>
      <c r="BL15">
        <v>1</v>
      </c>
      <c r="BM15" s="1">
        <f t="shared" si="45"/>
        <v>143</v>
      </c>
      <c r="BN15">
        <v>5</v>
      </c>
      <c r="BO15">
        <v>3</v>
      </c>
      <c r="BT15">
        <v>3</v>
      </c>
      <c r="BW15">
        <v>1</v>
      </c>
      <c r="BZ15">
        <v>4</v>
      </c>
      <c r="CA15">
        <v>3</v>
      </c>
      <c r="CB15">
        <v>3</v>
      </c>
      <c r="CG15">
        <v>4</v>
      </c>
      <c r="CH15">
        <v>1</v>
      </c>
      <c r="CK15">
        <v>1</v>
      </c>
      <c r="CS15" s="1">
        <f t="shared" si="46"/>
        <v>28</v>
      </c>
      <c r="DJ15">
        <v>14</v>
      </c>
      <c r="DK15">
        <v>17</v>
      </c>
      <c r="DM15">
        <v>29</v>
      </c>
      <c r="DN15">
        <v>33</v>
      </c>
      <c r="DQ15">
        <v>9</v>
      </c>
      <c r="DR15">
        <v>4</v>
      </c>
      <c r="DS15">
        <v>23</v>
      </c>
      <c r="DT15">
        <v>39</v>
      </c>
      <c r="DU15">
        <v>52</v>
      </c>
      <c r="DX15">
        <v>53</v>
      </c>
      <c r="DY15" s="1">
        <f t="shared" si="47"/>
        <v>273</v>
      </c>
      <c r="DZ15">
        <v>29</v>
      </c>
      <c r="EA15">
        <v>17</v>
      </c>
      <c r="EB15">
        <v>4</v>
      </c>
      <c r="EC15">
        <v>27</v>
      </c>
      <c r="EF15">
        <v>54</v>
      </c>
      <c r="EG15">
        <v>4</v>
      </c>
      <c r="EH15">
        <v>2</v>
      </c>
      <c r="EI15">
        <v>5</v>
      </c>
      <c r="EJ15">
        <v>20</v>
      </c>
      <c r="EM15">
        <v>38</v>
      </c>
      <c r="EN15">
        <v>23</v>
      </c>
      <c r="EO15">
        <v>31</v>
      </c>
      <c r="EP15">
        <v>101</v>
      </c>
      <c r="EQ15">
        <v>27</v>
      </c>
      <c r="ET15">
        <v>63</v>
      </c>
      <c r="EU15">
        <v>13</v>
      </c>
      <c r="FB15">
        <v>92</v>
      </c>
      <c r="FC15">
        <v>22</v>
      </c>
      <c r="FD15" s="1">
        <f t="shared" si="48"/>
        <v>572</v>
      </c>
      <c r="FE15">
        <v>21</v>
      </c>
      <c r="FF15">
        <v>68</v>
      </c>
      <c r="GJ15" s="1">
        <f t="shared" si="49"/>
        <v>89</v>
      </c>
      <c r="IT15">
        <v>750</v>
      </c>
      <c r="IU15" s="1">
        <f t="shared" si="50"/>
        <v>750</v>
      </c>
      <c r="IV15">
        <f t="shared" si="51"/>
        <v>1855</v>
      </c>
    </row>
    <row r="16" ht="32.399999999999999" customHeight="1">
      <c r="A16" s="5" t="s">
        <v>30</v>
      </c>
      <c r="B16" s="2" t="s">
        <v>22</v>
      </c>
      <c r="AH16" s="7">
        <f t="shared" si="44"/>
        <v>0</v>
      </c>
      <c r="AI16" s="1"/>
      <c r="BM16" s="1">
        <f t="shared" si="45"/>
        <v>0</v>
      </c>
      <c r="BN16">
        <v>1</v>
      </c>
      <c r="CS16" s="1">
        <f t="shared" si="46"/>
        <v>1</v>
      </c>
      <c r="DY16" s="1">
        <f t="shared" si="47"/>
        <v>0</v>
      </c>
      <c r="FD16" s="1">
        <f t="shared" si="48"/>
        <v>0</v>
      </c>
      <c r="GJ16" s="1">
        <f t="shared" si="49"/>
        <v>0</v>
      </c>
      <c r="IU16" s="1">
        <f t="shared" si="50"/>
        <v>0</v>
      </c>
      <c r="IV16">
        <f t="shared" si="51"/>
        <v>1</v>
      </c>
    </row>
    <row r="17" ht="32.399999999999999" customHeight="1">
      <c r="A17" s="5" t="s">
        <v>31</v>
      </c>
      <c r="B17" s="2" t="s">
        <v>16</v>
      </c>
      <c r="C17" s="1">
        <v>82</v>
      </c>
      <c r="AH17" s="7">
        <f t="shared" si="44"/>
        <v>82</v>
      </c>
      <c r="AM17">
        <v>1</v>
      </c>
      <c r="BM17" s="1">
        <f t="shared" si="45"/>
        <v>1</v>
      </c>
      <c r="IV17">
        <f t="shared" si="51"/>
        <v>83</v>
      </c>
    </row>
    <row r="18" ht="32.399999999999999" customHeight="1">
      <c r="A18" s="5" t="s">
        <v>32</v>
      </c>
      <c r="B18" s="2" t="s">
        <v>16</v>
      </c>
      <c r="C18" s="1">
        <v>117</v>
      </c>
      <c r="AH18" s="7">
        <f t="shared" si="44"/>
        <v>117</v>
      </c>
      <c r="AI18" s="1">
        <v>36</v>
      </c>
      <c r="AJ18">
        <v>58</v>
      </c>
      <c r="AK18">
        <v>85</v>
      </c>
      <c r="AL18">
        <v>40</v>
      </c>
      <c r="AM18">
        <v>5</v>
      </c>
      <c r="AP18">
        <v>53</v>
      </c>
      <c r="AQ18">
        <v>32</v>
      </c>
      <c r="AW18">
        <v>25</v>
      </c>
      <c r="AX18">
        <v>39</v>
      </c>
      <c r="AY18">
        <v>60</v>
      </c>
      <c r="AZ18">
        <v>63</v>
      </c>
      <c r="BA18">
        <v>35</v>
      </c>
      <c r="BD18">
        <v>25</v>
      </c>
      <c r="BE18">
        <v>48</v>
      </c>
      <c r="BF18">
        <v>1</v>
      </c>
      <c r="BK18">
        <v>48</v>
      </c>
      <c r="BL18">
        <v>83</v>
      </c>
      <c r="BM18" s="1">
        <f t="shared" si="45"/>
        <v>736</v>
      </c>
      <c r="BO18">
        <v>12</v>
      </c>
      <c r="BS18">
        <v>77</v>
      </c>
      <c r="BU18">
        <v>25</v>
      </c>
      <c r="BV18">
        <v>37</v>
      </c>
      <c r="BW18">
        <v>66</v>
      </c>
      <c r="BZ18">
        <v>31</v>
      </c>
      <c r="CA18">
        <v>6</v>
      </c>
      <c r="CB18">
        <v>17</v>
      </c>
      <c r="CD18">
        <v>14</v>
      </c>
      <c r="CG18">
        <v>12</v>
      </c>
      <c r="CH18">
        <v>53</v>
      </c>
      <c r="CI18">
        <v>120</v>
      </c>
      <c r="CJ18">
        <v>100</v>
      </c>
      <c r="CK18">
        <v>29</v>
      </c>
      <c r="CS18" s="1">
        <f t="shared" si="46"/>
        <v>599</v>
      </c>
      <c r="DY18" s="1">
        <f t="shared" si="47"/>
        <v>0</v>
      </c>
      <c r="EB18">
        <v>3</v>
      </c>
      <c r="EI18">
        <v>1</v>
      </c>
      <c r="EO18">
        <v>1</v>
      </c>
      <c r="FD18" s="1">
        <f t="shared" si="48"/>
        <v>5</v>
      </c>
      <c r="GJ18" s="1">
        <f t="shared" si="49"/>
        <v>0</v>
      </c>
      <c r="IU18" s="1">
        <f t="shared" si="50"/>
        <v>0</v>
      </c>
      <c r="IV18">
        <f t="shared" si="51"/>
        <v>1457</v>
      </c>
    </row>
    <row r="19" ht="32.399999999999999" customHeight="1">
      <c r="A19" s="5"/>
      <c r="B19" s="2"/>
      <c r="AH19" s="7">
        <f t="shared" si="44"/>
        <v>0</v>
      </c>
      <c r="BM19" s="1">
        <f t="shared" si="45"/>
        <v>0</v>
      </c>
    </row>
    <row r="20" ht="32.399999999999999" customHeight="1">
      <c r="A20" s="5"/>
      <c r="B20" s="2"/>
      <c r="AH20" s="7">
        <f t="shared" si="44"/>
        <v>0</v>
      </c>
      <c r="BM20" s="1">
        <f t="shared" si="45"/>
        <v>0</v>
      </c>
    </row>
    <row r="21" ht="32.399999999999999" customHeight="1">
      <c r="A21" s="5"/>
      <c r="B21" s="2"/>
      <c r="AH21" s="7">
        <f t="shared" si="44"/>
        <v>0</v>
      </c>
      <c r="BM21" s="1">
        <f t="shared" si="45"/>
        <v>0</v>
      </c>
    </row>
    <row r="22" ht="32.399999999999999" customHeight="1">
      <c r="A22" s="5"/>
      <c r="B22" s="2"/>
      <c r="AH22" s="7">
        <f t="shared" si="44"/>
        <v>0</v>
      </c>
      <c r="BM22" s="1">
        <f t="shared" si="45"/>
        <v>0</v>
      </c>
    </row>
    <row r="23" ht="32.399999999999999" customHeight="1">
      <c r="A23" s="5"/>
      <c r="B23" s="2"/>
      <c r="AH23" s="7">
        <f t="shared" si="44"/>
        <v>0</v>
      </c>
      <c r="BM23" s="1">
        <f t="shared" si="45"/>
        <v>0</v>
      </c>
    </row>
    <row r="86" ht="23.850000000000001">
      <c r="B86" s="5" t="s">
        <v>34</v>
      </c>
    </row>
    <row r="87" ht="13.800000000000001">
      <c r="B87" s="5" t="s">
        <v>35</v>
      </c>
    </row>
    <row r="88" ht="13.800000000000001">
      <c r="B88" s="5" t="s">
        <v>36</v>
      </c>
    </row>
    <row r="89" ht="13.800000000000001">
      <c r="B89" s="5" t="s">
        <v>37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rgb="FFDB1F38"/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xSplit="1" topLeftCell="B1" activePane="topRight" state="frozen"/>
      <selection activeCell="AN5" activeCellId="0" sqref="AN5"/>
    </sheetView>
  </sheetViews>
  <sheetFormatPr defaultColWidth="12.67578125" defaultRowHeight="13.5"/>
  <cols>
    <col customWidth="1" min="1" max="1" style="1" width="42.329999999999998"/>
    <col customWidth="1" min="2" max="2" style="1" width="38.140000000000001"/>
    <col customWidth="0" hidden="1" min="3" max="34" style="1" width="12.67"/>
    <col customWidth="1" hidden="1" min="35" max="35" style="15" width="0"/>
    <col customWidth="1" hidden="1" min="36" max="36" style="16" width="0"/>
    <col customWidth="1" hidden="1" min="37" max="37" style="15" width="0"/>
    <col customWidth="1" hidden="1" min="38" max="38" style="17" width="0"/>
    <col customWidth="1" hidden="1" min="39" max="39" style="15" width="0"/>
    <col customWidth="1" hidden="1" min="40" max="43" width="0"/>
    <col customWidth="1" hidden="1" min="44" max="44" style="15" width="0"/>
    <col customWidth="1" hidden="1" min="45" max="52" width="0"/>
    <col customWidth="1" hidden="1" min="53" max="53" style="18" width="0"/>
    <col customWidth="1" hidden="1" min="54" max="64" width="0"/>
    <col customWidth="1" hidden="1" min="65" max="65" style="1" width="0"/>
    <col customWidth="1" hidden="1" min="66" max="96" width="0"/>
    <col customWidth="1" hidden="1" min="97" max="97" style="1" width="0"/>
    <col customWidth="1" hidden="1" min="98" max="128" width="0"/>
    <col customWidth="0" hidden="1" min="129" max="129" style="1" width="12.67"/>
    <col customWidth="0" hidden="1" min="160" max="160" style="1" width="12.67"/>
    <col customWidth="0" hidden="1" min="192" max="192" style="1" width="12.67"/>
    <col customWidth="0" hidden="1" min="223" max="223" style="1" width="12.67"/>
    <col customWidth="0" hidden="1" min="255" max="255" style="1" width="12.67"/>
  </cols>
  <sheetData>
    <row r="1" ht="34.200000000000003" customHeight="1">
      <c r="A1" s="19" t="s">
        <v>0</v>
      </c>
      <c r="B1" s="2" t="s">
        <v>1</v>
      </c>
      <c r="C1" s="3">
        <v>46143</v>
      </c>
      <c r="D1" s="3">
        <v>46144</v>
      </c>
      <c r="E1" s="3">
        <v>46145</v>
      </c>
      <c r="F1" s="3">
        <v>46146</v>
      </c>
      <c r="G1" s="3">
        <v>46147</v>
      </c>
      <c r="H1" s="3">
        <v>46148</v>
      </c>
      <c r="I1" s="3">
        <v>46149</v>
      </c>
      <c r="J1" s="3">
        <v>46150</v>
      </c>
      <c r="K1" s="3">
        <v>46151</v>
      </c>
      <c r="L1" s="3">
        <v>46152</v>
      </c>
      <c r="M1" s="3">
        <v>46153</v>
      </c>
      <c r="N1" s="3">
        <v>46154</v>
      </c>
      <c r="O1" s="3">
        <v>46155</v>
      </c>
      <c r="P1" s="3">
        <v>46156</v>
      </c>
      <c r="Q1" s="3">
        <v>46157</v>
      </c>
      <c r="R1" s="3">
        <v>46158</v>
      </c>
      <c r="S1" s="3">
        <v>46159</v>
      </c>
      <c r="T1" s="3">
        <v>46160</v>
      </c>
      <c r="U1" s="3">
        <v>46161</v>
      </c>
      <c r="V1" s="3">
        <v>46162</v>
      </c>
      <c r="W1" s="3">
        <v>46163</v>
      </c>
      <c r="X1" s="3">
        <v>46164</v>
      </c>
      <c r="Y1" s="3">
        <v>46165</v>
      </c>
      <c r="Z1" s="3">
        <v>46166</v>
      </c>
      <c r="AA1" s="3">
        <v>46167</v>
      </c>
      <c r="AB1" s="3">
        <v>46168</v>
      </c>
      <c r="AC1" s="3">
        <v>46169</v>
      </c>
      <c r="AD1" s="3">
        <v>46170</v>
      </c>
      <c r="AE1" s="3">
        <v>46171</v>
      </c>
      <c r="AF1" s="3">
        <v>46172</v>
      </c>
      <c r="AG1" s="3">
        <v>46173</v>
      </c>
      <c r="AH1" s="3" t="s">
        <v>2</v>
      </c>
      <c r="AI1" s="20">
        <v>46174</v>
      </c>
      <c r="AJ1" s="3">
        <v>46175</v>
      </c>
      <c r="AK1" s="20">
        <v>46176</v>
      </c>
      <c r="AL1" s="21">
        <v>46177</v>
      </c>
      <c r="AM1" s="20">
        <v>46178</v>
      </c>
      <c r="AN1" s="3">
        <v>46179</v>
      </c>
      <c r="AO1" s="3">
        <v>46180</v>
      </c>
      <c r="AP1" s="3">
        <v>46181</v>
      </c>
      <c r="AQ1" s="3">
        <v>46182</v>
      </c>
      <c r="AR1" s="20">
        <v>46183</v>
      </c>
      <c r="AS1" s="3">
        <v>46184</v>
      </c>
      <c r="AT1" s="3">
        <v>46185</v>
      </c>
      <c r="AU1" s="3">
        <v>46186</v>
      </c>
      <c r="AV1" s="3">
        <v>46187</v>
      </c>
      <c r="AW1" s="3">
        <v>46188</v>
      </c>
      <c r="AX1" s="3">
        <v>46189</v>
      </c>
      <c r="AY1" s="3">
        <v>46190</v>
      </c>
      <c r="AZ1" s="3">
        <v>46191</v>
      </c>
      <c r="BA1" s="3">
        <v>46192</v>
      </c>
      <c r="BB1" s="3">
        <v>46193</v>
      </c>
      <c r="BC1" s="3">
        <v>46194</v>
      </c>
      <c r="BD1" s="20">
        <v>46195</v>
      </c>
      <c r="BE1" s="20">
        <v>46196</v>
      </c>
      <c r="BF1" s="20">
        <v>46197</v>
      </c>
      <c r="BG1" s="20">
        <v>46198</v>
      </c>
      <c r="BH1" s="20">
        <v>46199</v>
      </c>
      <c r="BI1" s="20">
        <v>46200</v>
      </c>
      <c r="BJ1" s="20">
        <v>46201</v>
      </c>
      <c r="BK1" s="20">
        <v>46202</v>
      </c>
      <c r="BL1" s="20">
        <v>46203</v>
      </c>
      <c r="BM1" s="20" t="s">
        <v>3</v>
      </c>
      <c r="BN1" s="20">
        <v>46204</v>
      </c>
      <c r="BO1" s="20">
        <v>46205</v>
      </c>
      <c r="BP1" s="20">
        <v>46206</v>
      </c>
      <c r="BQ1" s="20">
        <v>46207</v>
      </c>
      <c r="BR1" s="20">
        <v>46208</v>
      </c>
      <c r="BS1" s="3">
        <v>46209</v>
      </c>
      <c r="BT1" s="3">
        <v>46210</v>
      </c>
      <c r="BU1" s="3">
        <v>46211</v>
      </c>
      <c r="BV1" s="3">
        <v>46212</v>
      </c>
      <c r="BW1" s="3">
        <v>46213</v>
      </c>
      <c r="BX1" s="22">
        <v>46214</v>
      </c>
      <c r="BY1" s="22">
        <v>46215</v>
      </c>
      <c r="BZ1" s="3">
        <v>46216</v>
      </c>
      <c r="CA1" s="3">
        <v>46217</v>
      </c>
      <c r="CB1" s="3">
        <v>46218</v>
      </c>
      <c r="CC1" s="3">
        <v>46219</v>
      </c>
      <c r="CD1" s="3">
        <v>46220</v>
      </c>
      <c r="CE1" s="22">
        <v>46221</v>
      </c>
      <c r="CF1" s="22">
        <v>46222</v>
      </c>
      <c r="CG1" s="3">
        <v>46223</v>
      </c>
      <c r="CH1" s="3">
        <v>46224</v>
      </c>
      <c r="CI1" s="3">
        <v>46225</v>
      </c>
      <c r="CJ1" s="3">
        <v>46226</v>
      </c>
      <c r="CK1" s="3">
        <v>46227</v>
      </c>
      <c r="CL1" s="22">
        <v>46228</v>
      </c>
      <c r="CM1" s="22">
        <v>46229</v>
      </c>
      <c r="CN1" s="3">
        <v>46230</v>
      </c>
      <c r="CO1" s="3">
        <v>46231</v>
      </c>
      <c r="CP1" s="3">
        <v>46232</v>
      </c>
      <c r="CQ1" s="3">
        <v>46233</v>
      </c>
      <c r="CR1" s="3">
        <v>46234</v>
      </c>
      <c r="CS1" s="3" t="s">
        <v>4</v>
      </c>
      <c r="CT1" s="22">
        <v>46235</v>
      </c>
      <c r="CU1" s="22">
        <v>46236</v>
      </c>
      <c r="CV1" s="3">
        <v>46237</v>
      </c>
      <c r="CW1" s="3">
        <v>46238</v>
      </c>
      <c r="CX1" s="3">
        <v>46239</v>
      </c>
      <c r="CY1" s="3">
        <v>46240</v>
      </c>
      <c r="CZ1" s="3">
        <v>46241</v>
      </c>
      <c r="DA1" s="22">
        <v>46242</v>
      </c>
      <c r="DB1" s="22">
        <v>46243</v>
      </c>
      <c r="DC1" s="3">
        <v>46244</v>
      </c>
      <c r="DD1" s="3">
        <v>46245</v>
      </c>
      <c r="DE1" s="3">
        <v>46246</v>
      </c>
      <c r="DF1" s="3">
        <v>46247</v>
      </c>
      <c r="DG1" s="3">
        <v>46248</v>
      </c>
      <c r="DH1" s="22">
        <v>46249</v>
      </c>
      <c r="DI1" s="22">
        <v>46250</v>
      </c>
      <c r="DJ1" s="3">
        <v>46251</v>
      </c>
      <c r="DK1" s="3">
        <v>46252</v>
      </c>
      <c r="DL1" s="3">
        <v>46253</v>
      </c>
      <c r="DM1" s="3">
        <v>46254</v>
      </c>
      <c r="DN1" s="3">
        <v>46255</v>
      </c>
      <c r="DO1" s="22">
        <v>46256</v>
      </c>
      <c r="DP1" s="22">
        <v>46257</v>
      </c>
      <c r="DQ1" s="3">
        <v>46258</v>
      </c>
      <c r="DR1" s="3">
        <v>46259</v>
      </c>
      <c r="DS1" s="23">
        <v>46260</v>
      </c>
      <c r="DT1" s="3">
        <v>46261</v>
      </c>
      <c r="DU1" s="3">
        <v>46262</v>
      </c>
      <c r="DV1" s="22">
        <v>46263</v>
      </c>
      <c r="DW1" s="22">
        <v>46264</v>
      </c>
      <c r="DX1" s="3">
        <v>46265</v>
      </c>
      <c r="DY1" s="3" t="s">
        <v>5</v>
      </c>
      <c r="DZ1" s="3">
        <v>46266</v>
      </c>
      <c r="EA1" s="3">
        <v>46267</v>
      </c>
      <c r="EB1" s="3">
        <v>46268</v>
      </c>
      <c r="EC1" s="3">
        <v>46269</v>
      </c>
      <c r="ED1" s="22">
        <v>46270</v>
      </c>
      <c r="EE1" s="22">
        <v>46271</v>
      </c>
      <c r="EF1" s="3">
        <v>46272</v>
      </c>
      <c r="EG1" s="3">
        <v>46273</v>
      </c>
      <c r="EH1" s="3">
        <v>46274</v>
      </c>
      <c r="EI1" s="3">
        <v>46275</v>
      </c>
      <c r="EJ1" s="3">
        <v>46276</v>
      </c>
      <c r="EK1" s="22">
        <v>46277</v>
      </c>
      <c r="EL1" s="22">
        <v>46278</v>
      </c>
      <c r="EM1" s="3">
        <v>46279</v>
      </c>
      <c r="EN1" s="3">
        <v>46280</v>
      </c>
      <c r="EO1" s="3">
        <v>46281</v>
      </c>
      <c r="EP1" s="24">
        <v>46282</v>
      </c>
      <c r="EQ1" s="3">
        <v>46283</v>
      </c>
      <c r="ER1" s="22">
        <v>46284</v>
      </c>
      <c r="ES1" s="22">
        <v>46285</v>
      </c>
      <c r="ET1" s="3">
        <v>46286</v>
      </c>
      <c r="EU1" s="25">
        <v>46287</v>
      </c>
      <c r="EV1" s="3">
        <v>46288</v>
      </c>
      <c r="EW1" s="23">
        <v>46289</v>
      </c>
      <c r="EX1" s="24">
        <v>46290</v>
      </c>
      <c r="EY1" s="22">
        <v>46291</v>
      </c>
      <c r="EZ1" s="22">
        <v>46292</v>
      </c>
      <c r="FA1" s="3">
        <v>46293</v>
      </c>
      <c r="FB1" s="3">
        <v>46294</v>
      </c>
      <c r="FC1" s="3">
        <v>46295</v>
      </c>
      <c r="FD1" s="3" t="s">
        <v>6</v>
      </c>
      <c r="FE1" s="3">
        <v>46296</v>
      </c>
      <c r="FF1" s="3">
        <v>46297</v>
      </c>
      <c r="FG1" s="22">
        <v>46298</v>
      </c>
      <c r="FH1" s="22">
        <v>46299</v>
      </c>
      <c r="FI1" s="3">
        <v>46300</v>
      </c>
      <c r="FJ1" s="3">
        <v>46301</v>
      </c>
      <c r="FK1" s="3">
        <v>46302</v>
      </c>
      <c r="FL1" s="3">
        <v>46303</v>
      </c>
      <c r="FM1" s="3">
        <v>46304</v>
      </c>
      <c r="FN1" s="22">
        <v>46305</v>
      </c>
      <c r="FO1" s="22">
        <v>46306</v>
      </c>
      <c r="FP1" s="3">
        <v>46307</v>
      </c>
      <c r="FQ1" s="3">
        <v>46308</v>
      </c>
      <c r="FR1" s="3">
        <v>46309</v>
      </c>
      <c r="FS1" s="3">
        <v>46310</v>
      </c>
      <c r="FT1" s="3">
        <v>46311</v>
      </c>
      <c r="FU1" s="3">
        <v>46312</v>
      </c>
      <c r="FV1" s="3">
        <v>46313</v>
      </c>
      <c r="FW1" s="3">
        <v>46314</v>
      </c>
      <c r="FX1" s="3">
        <v>46315</v>
      </c>
      <c r="FY1" s="3">
        <v>46316</v>
      </c>
      <c r="FZ1" s="3">
        <v>46317</v>
      </c>
      <c r="GA1" s="3">
        <v>46318</v>
      </c>
      <c r="GB1" s="3">
        <v>46319</v>
      </c>
      <c r="GC1" s="3">
        <v>46320</v>
      </c>
      <c r="GD1" s="3">
        <v>46321</v>
      </c>
      <c r="GE1" s="3">
        <v>46322</v>
      </c>
      <c r="GF1" s="3">
        <v>46323</v>
      </c>
      <c r="GG1" s="3">
        <v>46324</v>
      </c>
      <c r="GH1" s="3">
        <v>46325</v>
      </c>
      <c r="GI1" s="3">
        <v>46326</v>
      </c>
      <c r="GJ1" s="3" t="s">
        <v>7</v>
      </c>
      <c r="GK1" s="3">
        <v>46327</v>
      </c>
      <c r="GL1" s="3">
        <v>46328</v>
      </c>
      <c r="GM1" s="3">
        <v>46329</v>
      </c>
      <c r="GN1" s="3">
        <v>46330</v>
      </c>
      <c r="GO1" s="3">
        <v>46331</v>
      </c>
      <c r="GP1" s="3">
        <v>46332</v>
      </c>
      <c r="GQ1" s="3">
        <v>46333</v>
      </c>
      <c r="GR1" s="3">
        <v>46334</v>
      </c>
      <c r="GS1" s="3">
        <v>46335</v>
      </c>
      <c r="GT1" s="3">
        <v>46336</v>
      </c>
      <c r="GU1" s="3">
        <v>46337</v>
      </c>
      <c r="GV1" s="3">
        <v>46338</v>
      </c>
      <c r="GW1" s="3">
        <v>46339</v>
      </c>
      <c r="GX1" s="3">
        <v>46340</v>
      </c>
      <c r="GY1" s="3">
        <v>46341</v>
      </c>
      <c r="GZ1" s="3">
        <v>46342</v>
      </c>
      <c r="HA1" s="3">
        <v>46343</v>
      </c>
      <c r="HB1" s="3">
        <v>46344</v>
      </c>
      <c r="HC1" s="3">
        <v>46345</v>
      </c>
      <c r="HD1" s="3">
        <v>46346</v>
      </c>
      <c r="HE1" s="3">
        <v>46347</v>
      </c>
      <c r="HF1" s="3">
        <v>46348</v>
      </c>
      <c r="HG1" s="3">
        <v>46349</v>
      </c>
      <c r="HH1" s="3">
        <v>46350</v>
      </c>
      <c r="HI1" s="3">
        <v>46351</v>
      </c>
      <c r="HJ1" s="3">
        <v>46352</v>
      </c>
      <c r="HK1" s="3">
        <v>46353</v>
      </c>
      <c r="HL1" s="3">
        <v>46354</v>
      </c>
      <c r="HM1" s="3">
        <v>46355</v>
      </c>
      <c r="HN1" s="3">
        <v>46356</v>
      </c>
      <c r="HO1" s="3" t="s">
        <v>8</v>
      </c>
      <c r="HP1" s="3">
        <v>46357</v>
      </c>
      <c r="HQ1" s="3">
        <v>46358</v>
      </c>
      <c r="HR1" s="3">
        <v>46359</v>
      </c>
      <c r="HS1" s="3">
        <v>46360</v>
      </c>
      <c r="HT1" s="3">
        <v>46361</v>
      </c>
      <c r="HU1" s="3">
        <v>46362</v>
      </c>
      <c r="HV1" s="3">
        <v>46363</v>
      </c>
      <c r="HW1" s="3">
        <v>46364</v>
      </c>
      <c r="HX1" s="3">
        <v>46365</v>
      </c>
      <c r="HY1" s="3">
        <v>46366</v>
      </c>
      <c r="HZ1" s="3">
        <v>46367</v>
      </c>
      <c r="IA1" s="3">
        <v>46368</v>
      </c>
      <c r="IB1" s="3">
        <v>46369</v>
      </c>
      <c r="IC1" s="3">
        <v>46370</v>
      </c>
      <c r="ID1" s="3">
        <v>46371</v>
      </c>
      <c r="IE1" s="3">
        <v>46372</v>
      </c>
      <c r="IF1" s="3">
        <v>46373</v>
      </c>
      <c r="IG1" s="3">
        <v>46374</v>
      </c>
      <c r="IH1" s="3">
        <v>46375</v>
      </c>
      <c r="II1" s="3">
        <v>46376</v>
      </c>
      <c r="IJ1" s="3">
        <v>46377</v>
      </c>
      <c r="IK1" s="3">
        <v>46378</v>
      </c>
      <c r="IL1" s="3">
        <v>46379</v>
      </c>
      <c r="IM1" s="3">
        <v>46380</v>
      </c>
      <c r="IN1" s="3">
        <v>46381</v>
      </c>
      <c r="IO1" s="3">
        <v>46382</v>
      </c>
      <c r="IP1" s="3">
        <v>46383</v>
      </c>
      <c r="IQ1" s="3">
        <v>46384</v>
      </c>
      <c r="IR1" s="3">
        <v>46385</v>
      </c>
      <c r="IS1" s="3">
        <v>46386</v>
      </c>
      <c r="IT1" s="3">
        <v>46387</v>
      </c>
      <c r="IU1" s="4" t="s">
        <v>9</v>
      </c>
      <c r="IV1" t="s">
        <v>10</v>
      </c>
    </row>
    <row r="2" ht="88.200000000000003" customHeight="1">
      <c r="A2" s="26" t="s">
        <v>39</v>
      </c>
      <c r="B2" s="2" t="s">
        <v>12</v>
      </c>
      <c r="C2" s="6">
        <v>223.84999999999999</v>
      </c>
      <c r="AH2" s="7">
        <f t="shared" ref="AH2:AH9" si="52">SUM(C2:AG2)</f>
        <v>223.84999999999999</v>
      </c>
      <c r="AK2" s="27"/>
      <c r="AS2">
        <v>86.629999999999995</v>
      </c>
      <c r="AX2">
        <v>29.289999999999999</v>
      </c>
      <c r="BM2" s="1">
        <f t="shared" ref="BM2:BM9" si="53">SUM(AI2:BL2)</f>
        <v>115.91999999999999</v>
      </c>
      <c r="BS2">
        <v>25.84</v>
      </c>
      <c r="BU2">
        <v>96.140000000000001</v>
      </c>
      <c r="BV2">
        <v>28.850000000000001</v>
      </c>
      <c r="CD2">
        <v>63.549999999999997</v>
      </c>
      <c r="CG2">
        <v>27.940000000000001</v>
      </c>
      <c r="CH2">
        <v>33.909999999999997</v>
      </c>
      <c r="CK2">
        <v>48.049999999999997</v>
      </c>
      <c r="CN2">
        <v>71.609999999999999</v>
      </c>
      <c r="CO2">
        <v>65.329999999999998</v>
      </c>
      <c r="CP2">
        <v>63.609999999999999</v>
      </c>
      <c r="CS2" s="1">
        <f t="shared" ref="CS2:CS9" si="54">SUM(BN2:CR2)</f>
        <v>524.83000000000004</v>
      </c>
      <c r="CY2">
        <v>1.3500000000000001</v>
      </c>
      <c r="CZ2">
        <v>71.849999999999994</v>
      </c>
      <c r="DC2">
        <v>43.07</v>
      </c>
      <c r="DJ2">
        <v>146.21000000000001</v>
      </c>
      <c r="DK2">
        <v>59.600000000000001</v>
      </c>
      <c r="DL2">
        <v>34.649999999999999</v>
      </c>
      <c r="DR2">
        <v>67.400000000000006</v>
      </c>
      <c r="DS2">
        <v>83.370000000000005</v>
      </c>
      <c r="DT2">
        <v>1.6599999999999999</v>
      </c>
      <c r="DU2">
        <v>7.7300000000000004</v>
      </c>
      <c r="DX2">
        <v>49.850000000000001</v>
      </c>
      <c r="DY2" s="1">
        <f t="shared" ref="DY2:DY9" si="55">SUM(CT2:DX2)</f>
        <v>566.74000000000001</v>
      </c>
      <c r="EB2">
        <v>20.02</v>
      </c>
      <c r="EC2">
        <v>39.530000000000001</v>
      </c>
      <c r="EG2">
        <v>8.2899999999999991</v>
      </c>
      <c r="EH2">
        <v>17.73</v>
      </c>
      <c r="EI2">
        <v>27.84</v>
      </c>
      <c r="EM2">
        <v>18.719999999999999</v>
      </c>
      <c r="EN2">
        <v>49.609999999999999</v>
      </c>
      <c r="EQ2">
        <v>202.88</v>
      </c>
      <c r="ET2">
        <v>2.9500000000000002</v>
      </c>
      <c r="EV2">
        <v>18.850000000000001</v>
      </c>
      <c r="FD2" s="1">
        <f t="shared" ref="FD2:FD9" si="56">SUM(DZ2:FC2)</f>
        <v>406.42000000000002</v>
      </c>
      <c r="GJ2" s="1">
        <f t="shared" ref="GJ2:GJ9" si="57">SUM(FE2:GI2)</f>
        <v>0</v>
      </c>
      <c r="HO2" s="1">
        <f t="shared" ref="HO2:HO9" si="58">SUM(GK2:HN2)</f>
        <v>0</v>
      </c>
      <c r="IT2">
        <v>1500</v>
      </c>
      <c r="IU2" s="1">
        <f t="shared" ref="IU2:IU9" si="59">SUM(HP2:IT2)</f>
        <v>1500</v>
      </c>
      <c r="IV2">
        <f t="shared" ref="IV2:IV9" si="60">SUM(AH2,BM2,CS2,DY2,FD2,GJ2,HO2,IU2)</f>
        <v>3337.7600000000002</v>
      </c>
    </row>
    <row r="3" ht="32.399999999999999" customHeight="1">
      <c r="A3" s="26" t="s">
        <v>15</v>
      </c>
      <c r="B3" s="2" t="s">
        <v>16</v>
      </c>
      <c r="C3" s="1">
        <v>5</v>
      </c>
      <c r="AH3" s="7">
        <f t="shared" si="52"/>
        <v>5</v>
      </c>
      <c r="AK3" s="27"/>
      <c r="BM3" s="1">
        <f t="shared" si="53"/>
        <v>0</v>
      </c>
      <c r="BZ3">
        <v>1</v>
      </c>
      <c r="CB3">
        <v>3</v>
      </c>
      <c r="CJ3">
        <v>1</v>
      </c>
      <c r="CS3" s="1">
        <f t="shared" si="54"/>
        <v>5</v>
      </c>
      <c r="DY3" s="1">
        <f t="shared" si="55"/>
        <v>0</v>
      </c>
      <c r="EW3">
        <v>4</v>
      </c>
      <c r="EX3">
        <v>1</v>
      </c>
      <c r="FD3" s="1">
        <f t="shared" si="56"/>
        <v>5</v>
      </c>
      <c r="GJ3" s="1">
        <f t="shared" si="57"/>
        <v>0</v>
      </c>
      <c r="HO3" s="1">
        <f t="shared" si="58"/>
        <v>0</v>
      </c>
      <c r="IT3">
        <v>51</v>
      </c>
      <c r="IU3" s="1">
        <f t="shared" si="59"/>
        <v>51</v>
      </c>
      <c r="IV3">
        <f t="shared" si="60"/>
        <v>66</v>
      </c>
    </row>
    <row r="4" ht="32.399999999999999" customHeight="1">
      <c r="A4" s="26" t="s">
        <v>17</v>
      </c>
      <c r="B4" s="2" t="s">
        <v>16</v>
      </c>
      <c r="C4" s="1">
        <v>55</v>
      </c>
      <c r="AH4" s="7">
        <f t="shared" si="52"/>
        <v>55</v>
      </c>
      <c r="AK4" s="27"/>
      <c r="AL4" s="17">
        <v>1</v>
      </c>
      <c r="AY4">
        <v>18</v>
      </c>
      <c r="BA4" s="18">
        <v>7</v>
      </c>
      <c r="BM4" s="1">
        <f t="shared" si="53"/>
        <v>26</v>
      </c>
      <c r="BT4">
        <v>9</v>
      </c>
      <c r="BV4">
        <v>4</v>
      </c>
      <c r="BW4">
        <v>5</v>
      </c>
      <c r="CA4">
        <v>6</v>
      </c>
      <c r="CH4">
        <v>2</v>
      </c>
      <c r="CJ4">
        <v>3</v>
      </c>
      <c r="CO4">
        <v>1</v>
      </c>
      <c r="CQ4">
        <v>4</v>
      </c>
      <c r="CS4" s="1">
        <f t="shared" si="54"/>
        <v>34</v>
      </c>
      <c r="CV4">
        <v>3</v>
      </c>
      <c r="CX4">
        <v>2</v>
      </c>
      <c r="CY4">
        <v>4</v>
      </c>
      <c r="DD4">
        <v>5</v>
      </c>
      <c r="DE4">
        <v>10</v>
      </c>
      <c r="DF4">
        <v>9</v>
      </c>
      <c r="DG4">
        <v>3</v>
      </c>
      <c r="DJ4">
        <v>5</v>
      </c>
      <c r="DL4">
        <v>6</v>
      </c>
      <c r="DX4">
        <v>1</v>
      </c>
      <c r="DY4" s="1">
        <f t="shared" si="55"/>
        <v>48</v>
      </c>
      <c r="DZ4">
        <v>5</v>
      </c>
      <c r="EB4">
        <v>7</v>
      </c>
      <c r="EC4">
        <v>4</v>
      </c>
      <c r="EF4">
        <v>4</v>
      </c>
      <c r="EJ4">
        <v>9</v>
      </c>
      <c r="EM4">
        <v>7</v>
      </c>
      <c r="EO4">
        <v>14</v>
      </c>
      <c r="EP4">
        <v>8</v>
      </c>
      <c r="EW4">
        <v>11</v>
      </c>
      <c r="EX4">
        <v>1</v>
      </c>
      <c r="FD4" s="1">
        <f t="shared" si="56"/>
        <v>70</v>
      </c>
      <c r="GJ4" s="1">
        <f t="shared" si="57"/>
        <v>0</v>
      </c>
      <c r="HO4" s="1">
        <f t="shared" si="58"/>
        <v>0</v>
      </c>
      <c r="IT4">
        <v>128</v>
      </c>
      <c r="IU4" s="1">
        <f t="shared" si="59"/>
        <v>128</v>
      </c>
      <c r="IV4">
        <f t="shared" si="60"/>
        <v>361</v>
      </c>
    </row>
    <row r="5" ht="32.399999999999999" customHeight="1">
      <c r="A5" s="26" t="s">
        <v>18</v>
      </c>
      <c r="B5" s="2" t="s">
        <v>16</v>
      </c>
      <c r="C5" s="1">
        <v>55</v>
      </c>
      <c r="AH5" s="7">
        <f t="shared" si="52"/>
        <v>55</v>
      </c>
      <c r="AK5" s="27"/>
      <c r="AL5" s="17">
        <v>1</v>
      </c>
      <c r="AY5">
        <v>18</v>
      </c>
      <c r="BA5" s="18">
        <v>7</v>
      </c>
      <c r="BM5" s="1">
        <f t="shared" si="53"/>
        <v>26</v>
      </c>
      <c r="BT5">
        <v>9</v>
      </c>
      <c r="BV5">
        <v>4</v>
      </c>
      <c r="BZ5">
        <v>6</v>
      </c>
      <c r="CB5">
        <v>6</v>
      </c>
      <c r="CH5">
        <v>2</v>
      </c>
      <c r="CJ5">
        <v>3</v>
      </c>
      <c r="CO5">
        <v>1</v>
      </c>
      <c r="CS5" s="1">
        <f t="shared" si="54"/>
        <v>31</v>
      </c>
      <c r="CV5">
        <v>3</v>
      </c>
      <c r="CX5">
        <v>2</v>
      </c>
      <c r="CY5">
        <v>4</v>
      </c>
      <c r="DD5">
        <v>5</v>
      </c>
      <c r="DE5">
        <v>10</v>
      </c>
      <c r="DF5">
        <v>9</v>
      </c>
      <c r="DG5">
        <v>3</v>
      </c>
      <c r="DJ5">
        <v>5</v>
      </c>
      <c r="DL5">
        <v>6</v>
      </c>
      <c r="DX5">
        <v>1</v>
      </c>
      <c r="DY5" s="1">
        <f t="shared" si="55"/>
        <v>48</v>
      </c>
      <c r="EA5">
        <v>5</v>
      </c>
      <c r="EB5">
        <v>7</v>
      </c>
      <c r="EC5">
        <v>1</v>
      </c>
      <c r="EF5">
        <v>4</v>
      </c>
      <c r="EJ5">
        <v>9</v>
      </c>
      <c r="EM5">
        <v>7</v>
      </c>
      <c r="EO5">
        <v>14</v>
      </c>
      <c r="EP5">
        <v>8</v>
      </c>
      <c r="EX5">
        <v>1</v>
      </c>
      <c r="FD5" s="1">
        <f t="shared" si="56"/>
        <v>56</v>
      </c>
      <c r="GJ5" s="1">
        <f t="shared" si="57"/>
        <v>0</v>
      </c>
      <c r="HO5" s="1">
        <f t="shared" si="58"/>
        <v>0</v>
      </c>
      <c r="IT5">
        <v>129</v>
      </c>
      <c r="IU5" s="1">
        <f t="shared" si="59"/>
        <v>129</v>
      </c>
      <c r="IV5">
        <f t="shared" si="60"/>
        <v>345</v>
      </c>
    </row>
    <row r="6" ht="32.399999999999999" customHeight="1">
      <c r="A6" s="26" t="s">
        <v>19</v>
      </c>
      <c r="B6" s="2" t="s">
        <v>16</v>
      </c>
      <c r="AH6" s="7">
        <f t="shared" si="52"/>
        <v>0</v>
      </c>
      <c r="AK6" s="27"/>
      <c r="BM6" s="1">
        <f t="shared" si="53"/>
        <v>0</v>
      </c>
      <c r="CA6">
        <v>3</v>
      </c>
      <c r="CK6">
        <v>2</v>
      </c>
      <c r="CQ6">
        <v>4</v>
      </c>
      <c r="CS6" s="1">
        <f t="shared" si="54"/>
        <v>9</v>
      </c>
      <c r="DY6" s="1">
        <f t="shared" si="55"/>
        <v>0</v>
      </c>
      <c r="EP6">
        <v>1</v>
      </c>
      <c r="FD6" s="1">
        <f t="shared" si="56"/>
        <v>1</v>
      </c>
      <c r="GJ6" s="1">
        <f t="shared" si="57"/>
        <v>0</v>
      </c>
      <c r="HO6" s="1">
        <f t="shared" si="58"/>
        <v>0</v>
      </c>
      <c r="IT6">
        <v>30</v>
      </c>
      <c r="IU6" s="1">
        <f t="shared" si="59"/>
        <v>30</v>
      </c>
      <c r="IV6">
        <f t="shared" si="60"/>
        <v>40</v>
      </c>
    </row>
    <row r="7" ht="32.399999999999999" customHeight="1">
      <c r="A7" s="26" t="s">
        <v>20</v>
      </c>
      <c r="B7" s="2" t="s">
        <v>16</v>
      </c>
      <c r="AH7" s="7">
        <f t="shared" si="52"/>
        <v>0</v>
      </c>
      <c r="AJ7" s="17">
        <v>26</v>
      </c>
      <c r="AK7" s="27"/>
      <c r="AL7" s="17">
        <v>40</v>
      </c>
      <c r="BM7" s="1">
        <f t="shared" si="53"/>
        <v>66</v>
      </c>
      <c r="BW7">
        <v>4</v>
      </c>
      <c r="CA7">
        <v>3</v>
      </c>
      <c r="CI7">
        <v>5</v>
      </c>
      <c r="CJ7">
        <v>10</v>
      </c>
      <c r="CK7">
        <v>1</v>
      </c>
      <c r="CP7">
        <v>1</v>
      </c>
      <c r="CS7" s="1">
        <f t="shared" si="54"/>
        <v>24</v>
      </c>
      <c r="CZ7">
        <v>1</v>
      </c>
      <c r="DC7">
        <v>3</v>
      </c>
      <c r="DD7">
        <v>4</v>
      </c>
      <c r="DF7">
        <v>2</v>
      </c>
      <c r="DS7">
        <v>3</v>
      </c>
      <c r="DY7" s="1">
        <f t="shared" si="55"/>
        <v>13</v>
      </c>
      <c r="EP7">
        <v>2</v>
      </c>
      <c r="FD7" s="1">
        <f t="shared" si="56"/>
        <v>2</v>
      </c>
      <c r="GJ7" s="1">
        <f t="shared" si="57"/>
        <v>0</v>
      </c>
      <c r="HO7" s="1">
        <f t="shared" si="58"/>
        <v>0</v>
      </c>
      <c r="IT7">
        <v>31</v>
      </c>
      <c r="IU7" s="1">
        <f t="shared" si="59"/>
        <v>31</v>
      </c>
      <c r="IV7">
        <f t="shared" si="60"/>
        <v>136</v>
      </c>
    </row>
    <row r="8" ht="32.399999999999999" customHeight="1">
      <c r="A8" s="26" t="s">
        <v>21</v>
      </c>
      <c r="B8" s="2" t="s">
        <v>22</v>
      </c>
      <c r="AH8" s="7">
        <f t="shared" si="52"/>
        <v>0</v>
      </c>
      <c r="AK8" s="27"/>
      <c r="BM8" s="1">
        <f t="shared" si="53"/>
        <v>0</v>
      </c>
      <c r="CK8">
        <v>1</v>
      </c>
      <c r="CS8" s="1">
        <f t="shared" si="54"/>
        <v>1</v>
      </c>
      <c r="DY8" s="1">
        <f t="shared" si="55"/>
        <v>0</v>
      </c>
      <c r="FD8" s="1">
        <f t="shared" si="56"/>
        <v>0</v>
      </c>
      <c r="GJ8" s="1">
        <f t="shared" si="57"/>
        <v>0</v>
      </c>
      <c r="HO8" s="1">
        <f t="shared" si="58"/>
        <v>0</v>
      </c>
      <c r="IT8">
        <v>5</v>
      </c>
      <c r="IU8" s="1">
        <f t="shared" si="59"/>
        <v>5</v>
      </c>
      <c r="IV8">
        <f t="shared" si="60"/>
        <v>6</v>
      </c>
    </row>
    <row r="9" ht="32.399999999999999" customHeight="1">
      <c r="A9" s="26" t="s">
        <v>23</v>
      </c>
      <c r="B9" s="2" t="s">
        <v>16</v>
      </c>
      <c r="C9" s="1">
        <v>69</v>
      </c>
      <c r="AH9" s="7">
        <f t="shared" si="52"/>
        <v>69</v>
      </c>
      <c r="AK9" s="27"/>
      <c r="AY9">
        <v>10</v>
      </c>
      <c r="AZ9">
        <v>9</v>
      </c>
      <c r="BA9" s="18">
        <v>6</v>
      </c>
      <c r="BM9" s="1">
        <f t="shared" si="53"/>
        <v>25</v>
      </c>
      <c r="BS9">
        <v>2</v>
      </c>
      <c r="BU9">
        <v>8</v>
      </c>
      <c r="BV9">
        <v>9</v>
      </c>
      <c r="CA9">
        <v>20</v>
      </c>
      <c r="CC9">
        <v>16</v>
      </c>
      <c r="CD9">
        <v>20</v>
      </c>
      <c r="CG9">
        <v>20</v>
      </c>
      <c r="CJ9">
        <v>15</v>
      </c>
      <c r="CK9">
        <v>19</v>
      </c>
      <c r="CN9">
        <v>10</v>
      </c>
      <c r="CO9">
        <v>14</v>
      </c>
      <c r="CP9">
        <v>21</v>
      </c>
      <c r="CQ9">
        <v>20</v>
      </c>
      <c r="CS9" s="1">
        <f t="shared" si="54"/>
        <v>194</v>
      </c>
      <c r="CV9">
        <v>15</v>
      </c>
      <c r="CX9">
        <v>16</v>
      </c>
      <c r="CY9">
        <v>25</v>
      </c>
      <c r="DC9">
        <v>14</v>
      </c>
      <c r="DD9">
        <v>61</v>
      </c>
      <c r="DJ9">
        <v>16</v>
      </c>
      <c r="DK9">
        <v>15</v>
      </c>
      <c r="DL9">
        <v>7</v>
      </c>
      <c r="DQ9">
        <v>32</v>
      </c>
      <c r="DR9">
        <v>15</v>
      </c>
      <c r="DY9" s="1">
        <f t="shared" si="55"/>
        <v>216</v>
      </c>
      <c r="DZ9">
        <v>10</v>
      </c>
      <c r="EB9">
        <v>7</v>
      </c>
      <c r="EC9">
        <v>5</v>
      </c>
      <c r="EF9">
        <v>10</v>
      </c>
      <c r="EJ9">
        <v>62</v>
      </c>
      <c r="EM9">
        <v>36</v>
      </c>
      <c r="EO9">
        <v>14</v>
      </c>
      <c r="EP9">
        <v>8</v>
      </c>
      <c r="ET9">
        <v>4</v>
      </c>
      <c r="EV9">
        <v>61</v>
      </c>
      <c r="EW9">
        <v>32</v>
      </c>
      <c r="EX9">
        <v>1</v>
      </c>
      <c r="FD9" s="1">
        <f t="shared" si="56"/>
        <v>250</v>
      </c>
      <c r="GJ9" s="1">
        <f t="shared" si="57"/>
        <v>0</v>
      </c>
      <c r="HO9" s="1">
        <f t="shared" si="58"/>
        <v>0</v>
      </c>
      <c r="IT9">
        <v>433</v>
      </c>
      <c r="IU9" s="1">
        <f t="shared" si="59"/>
        <v>433</v>
      </c>
      <c r="IV9">
        <f t="shared" si="60"/>
        <v>1187</v>
      </c>
    </row>
    <row r="10" ht="32.399999999999999" customHeight="1">
      <c r="A10" s="26" t="s">
        <v>24</v>
      </c>
      <c r="B10" s="2" t="s">
        <v>16</v>
      </c>
      <c r="C10" s="1">
        <v>49</v>
      </c>
      <c r="AH10" s="7">
        <f t="shared" ref="AH10:AH23" si="61">SUM(C10:AG10)</f>
        <v>49</v>
      </c>
      <c r="AK10" s="27"/>
      <c r="AY10">
        <v>10</v>
      </c>
      <c r="AZ10">
        <v>9</v>
      </c>
      <c r="BA10" s="18">
        <v>6</v>
      </c>
      <c r="BM10" s="1">
        <f t="shared" ref="BM10:BM23" si="62">SUM(AI10:BL10)</f>
        <v>25</v>
      </c>
      <c r="BS10">
        <v>2</v>
      </c>
      <c r="BU10">
        <v>4</v>
      </c>
      <c r="BV10">
        <v>4</v>
      </c>
      <c r="CA10">
        <v>5</v>
      </c>
      <c r="CC10">
        <v>3</v>
      </c>
      <c r="CD10">
        <v>6</v>
      </c>
      <c r="CG10">
        <v>2</v>
      </c>
      <c r="CH10">
        <v>3</v>
      </c>
      <c r="CJ10">
        <v>15</v>
      </c>
      <c r="CK10">
        <v>19</v>
      </c>
      <c r="CN10">
        <v>10</v>
      </c>
      <c r="CO10">
        <v>14</v>
      </c>
      <c r="CP10">
        <v>21</v>
      </c>
      <c r="CQ10">
        <v>20</v>
      </c>
      <c r="CS10" s="1">
        <f t="shared" ref="CS10:CS18" si="63">SUM(BN10:CR10)</f>
        <v>128</v>
      </c>
      <c r="CV10">
        <v>3</v>
      </c>
      <c r="CX10">
        <v>2</v>
      </c>
      <c r="CY10">
        <v>8</v>
      </c>
      <c r="CZ10">
        <v>7</v>
      </c>
      <c r="DC10">
        <v>8</v>
      </c>
      <c r="DG10">
        <v>3</v>
      </c>
      <c r="DJ10">
        <v>4</v>
      </c>
      <c r="DK10">
        <v>9</v>
      </c>
      <c r="DL10">
        <v>10</v>
      </c>
      <c r="DX10">
        <v>8</v>
      </c>
      <c r="DY10" s="1">
        <f t="shared" ref="DY10:DY18" si="64">SUM(CT10:DX10)</f>
        <v>62</v>
      </c>
      <c r="EA10">
        <v>3</v>
      </c>
      <c r="EB10">
        <v>10</v>
      </c>
      <c r="EC10">
        <v>3</v>
      </c>
      <c r="EJ10">
        <v>9</v>
      </c>
      <c r="EM10">
        <v>11</v>
      </c>
      <c r="EN10">
        <v>8</v>
      </c>
      <c r="EO10">
        <v>14</v>
      </c>
      <c r="EP10">
        <v>8</v>
      </c>
      <c r="ET10">
        <v>4</v>
      </c>
      <c r="EV10">
        <v>8</v>
      </c>
      <c r="EW10">
        <v>13</v>
      </c>
      <c r="FD10" s="1">
        <f t="shared" ref="FD10:FD18" si="65">SUM(DZ10:FC10)</f>
        <v>91</v>
      </c>
      <c r="GJ10" s="1">
        <f t="shared" ref="GJ10:GJ18" si="66">SUM(FE10:GI10)</f>
        <v>0</v>
      </c>
      <c r="HO10" s="1">
        <f t="shared" ref="HO10:HO18" si="67">SUM(GK10:HN10)</f>
        <v>0</v>
      </c>
      <c r="IT10">
        <v>409</v>
      </c>
      <c r="IU10" s="1">
        <f t="shared" ref="IU10:IU18" si="68">SUM(HP10:IT10)</f>
        <v>409</v>
      </c>
      <c r="IV10">
        <f t="shared" ref="IV10:IV18" si="69">SUM(AH10,BM10,CS10,DY10,FD10,GJ10,HO10,IU10)</f>
        <v>764</v>
      </c>
    </row>
    <row r="11" ht="32.399999999999999" customHeight="1">
      <c r="A11" s="26" t="s">
        <v>25</v>
      </c>
      <c r="B11" s="2" t="s">
        <v>16</v>
      </c>
      <c r="AH11" s="7">
        <f t="shared" si="61"/>
        <v>0</v>
      </c>
      <c r="AK11" s="27"/>
      <c r="BM11" s="1">
        <f t="shared" si="62"/>
        <v>0</v>
      </c>
      <c r="CS11" s="1">
        <f t="shared" si="63"/>
        <v>0</v>
      </c>
      <c r="DY11" s="1">
        <f t="shared" si="64"/>
        <v>0</v>
      </c>
      <c r="FD11" s="1">
        <f t="shared" si="65"/>
        <v>0</v>
      </c>
      <c r="GJ11" s="1">
        <f t="shared" si="66"/>
        <v>0</v>
      </c>
      <c r="HO11" s="1">
        <f t="shared" si="67"/>
        <v>0</v>
      </c>
      <c r="IT11">
        <v>220</v>
      </c>
      <c r="IU11" s="1">
        <f t="shared" si="68"/>
        <v>220</v>
      </c>
      <c r="IV11">
        <f t="shared" si="69"/>
        <v>220</v>
      </c>
    </row>
    <row r="12" ht="32.399999999999999" customHeight="1">
      <c r="A12" s="26" t="s">
        <v>26</v>
      </c>
      <c r="B12" s="2" t="s">
        <v>16</v>
      </c>
      <c r="AH12" s="7">
        <f t="shared" si="61"/>
        <v>0</v>
      </c>
      <c r="AK12" s="27"/>
      <c r="BM12" s="1">
        <f t="shared" si="62"/>
        <v>0</v>
      </c>
      <c r="CB12">
        <v>1</v>
      </c>
      <c r="CO12">
        <v>1</v>
      </c>
      <c r="CS12" s="1">
        <f t="shared" si="63"/>
        <v>2</v>
      </c>
      <c r="DY12" s="1">
        <f t="shared" si="64"/>
        <v>0</v>
      </c>
      <c r="FD12" s="1">
        <f t="shared" si="65"/>
        <v>0</v>
      </c>
      <c r="GJ12" s="1">
        <f t="shared" si="66"/>
        <v>0</v>
      </c>
      <c r="HO12" s="1">
        <f t="shared" si="67"/>
        <v>0</v>
      </c>
      <c r="IT12">
        <v>6</v>
      </c>
      <c r="IU12" s="1">
        <f t="shared" si="68"/>
        <v>6</v>
      </c>
      <c r="IV12">
        <f t="shared" si="69"/>
        <v>8</v>
      </c>
    </row>
    <row r="13" ht="32.399999999999999" customHeight="1">
      <c r="A13" s="26" t="s">
        <v>27</v>
      </c>
      <c r="B13" s="2" t="s">
        <v>16</v>
      </c>
      <c r="AH13" s="7">
        <f t="shared" si="61"/>
        <v>0</v>
      </c>
      <c r="AK13" s="27"/>
      <c r="BM13" s="1">
        <f t="shared" si="62"/>
        <v>0</v>
      </c>
      <c r="CS13" s="1">
        <f t="shared" si="63"/>
        <v>0</v>
      </c>
      <c r="DY13" s="1">
        <f t="shared" si="64"/>
        <v>0</v>
      </c>
      <c r="FD13" s="1">
        <f t="shared" si="65"/>
        <v>0</v>
      </c>
      <c r="GJ13" s="1">
        <f t="shared" si="66"/>
        <v>0</v>
      </c>
      <c r="HO13" s="1">
        <f t="shared" si="67"/>
        <v>0</v>
      </c>
      <c r="IT13">
        <v>156</v>
      </c>
      <c r="IU13" s="1">
        <f t="shared" si="68"/>
        <v>156</v>
      </c>
      <c r="IV13">
        <f t="shared" si="69"/>
        <v>156</v>
      </c>
    </row>
    <row r="14" ht="32.399999999999999" customHeight="1">
      <c r="A14" s="26" t="s">
        <v>28</v>
      </c>
      <c r="B14" s="2" t="s">
        <v>16</v>
      </c>
      <c r="AH14" s="7">
        <f t="shared" si="61"/>
        <v>0</v>
      </c>
      <c r="AK14" s="27"/>
      <c r="BM14" s="1">
        <f t="shared" si="62"/>
        <v>0</v>
      </c>
      <c r="CJ14">
        <v>9</v>
      </c>
      <c r="CS14" s="1">
        <f t="shared" si="63"/>
        <v>9</v>
      </c>
      <c r="DY14" s="1">
        <f t="shared" si="64"/>
        <v>0</v>
      </c>
      <c r="FD14" s="1">
        <f t="shared" si="65"/>
        <v>0</v>
      </c>
      <c r="GJ14" s="1">
        <f t="shared" si="66"/>
        <v>0</v>
      </c>
      <c r="HO14" s="1">
        <f t="shared" si="67"/>
        <v>0</v>
      </c>
      <c r="IT14">
        <v>108</v>
      </c>
      <c r="IU14" s="1">
        <f t="shared" si="68"/>
        <v>108</v>
      </c>
      <c r="IV14">
        <f t="shared" si="69"/>
        <v>117</v>
      </c>
    </row>
    <row r="15" ht="32.399999999999999" customHeight="1">
      <c r="A15" s="26" t="s">
        <v>29</v>
      </c>
      <c r="B15" s="2" t="s">
        <v>16</v>
      </c>
      <c r="C15" s="1">
        <v>31</v>
      </c>
      <c r="AH15" s="7">
        <f t="shared" si="61"/>
        <v>31</v>
      </c>
      <c r="AK15" s="27"/>
      <c r="AZ15">
        <v>18</v>
      </c>
      <c r="BA15" s="18">
        <v>14</v>
      </c>
      <c r="BM15" s="1">
        <f t="shared" si="62"/>
        <v>32</v>
      </c>
      <c r="BU15">
        <v>2</v>
      </c>
      <c r="BV15">
        <v>2</v>
      </c>
      <c r="CG15">
        <v>2</v>
      </c>
      <c r="CH15">
        <v>3</v>
      </c>
      <c r="CK15">
        <v>2</v>
      </c>
      <c r="CN15">
        <v>1</v>
      </c>
      <c r="CO15">
        <v>1</v>
      </c>
      <c r="CP15">
        <v>3</v>
      </c>
      <c r="CS15" s="1">
        <f t="shared" si="63"/>
        <v>16</v>
      </c>
      <c r="CX15">
        <v>5</v>
      </c>
      <c r="CY15">
        <v>1</v>
      </c>
      <c r="CZ15">
        <v>2</v>
      </c>
      <c r="DC15">
        <v>2</v>
      </c>
      <c r="DD15">
        <v>6</v>
      </c>
      <c r="DE15">
        <v>27</v>
      </c>
      <c r="DF15">
        <v>18</v>
      </c>
      <c r="DG15">
        <v>10</v>
      </c>
      <c r="DK15">
        <v>3</v>
      </c>
      <c r="DL15">
        <v>8</v>
      </c>
      <c r="DR15">
        <v>3</v>
      </c>
      <c r="DS15">
        <v>2</v>
      </c>
      <c r="DX15">
        <v>4</v>
      </c>
      <c r="DY15" s="1">
        <f t="shared" si="64"/>
        <v>91</v>
      </c>
      <c r="EB15">
        <v>10</v>
      </c>
      <c r="EC15">
        <v>1</v>
      </c>
      <c r="EF15">
        <v>6</v>
      </c>
      <c r="EI15">
        <v>1</v>
      </c>
      <c r="EM15">
        <v>1</v>
      </c>
      <c r="EN15">
        <v>2</v>
      </c>
      <c r="EO15">
        <v>26</v>
      </c>
      <c r="EP15">
        <v>15</v>
      </c>
      <c r="EQ15">
        <v>2</v>
      </c>
      <c r="ET15">
        <v>1</v>
      </c>
      <c r="EV15">
        <v>1</v>
      </c>
      <c r="EW15">
        <v>4</v>
      </c>
      <c r="FD15" s="1">
        <f t="shared" si="65"/>
        <v>70</v>
      </c>
      <c r="GJ15" s="1">
        <f t="shared" si="66"/>
        <v>0</v>
      </c>
      <c r="HO15" s="1">
        <f t="shared" si="67"/>
        <v>0</v>
      </c>
      <c r="IT15">
        <v>750</v>
      </c>
      <c r="IU15" s="1">
        <f t="shared" si="68"/>
        <v>750</v>
      </c>
      <c r="IV15">
        <f t="shared" si="69"/>
        <v>990</v>
      </c>
    </row>
    <row r="16" ht="32.399999999999999" customHeight="1">
      <c r="A16" s="26" t="s">
        <v>30</v>
      </c>
      <c r="B16" s="2" t="s">
        <v>22</v>
      </c>
      <c r="AH16" s="7">
        <f t="shared" si="61"/>
        <v>0</v>
      </c>
      <c r="AK16" s="27"/>
      <c r="BM16" s="1">
        <f t="shared" si="62"/>
        <v>0</v>
      </c>
      <c r="CS16" s="1">
        <f t="shared" si="63"/>
        <v>0</v>
      </c>
      <c r="DY16" s="1">
        <f t="shared" si="64"/>
        <v>0</v>
      </c>
      <c r="FD16" s="1">
        <f t="shared" si="65"/>
        <v>0</v>
      </c>
      <c r="GJ16" s="1">
        <f t="shared" si="66"/>
        <v>0</v>
      </c>
      <c r="HO16" s="1">
        <f t="shared" si="67"/>
        <v>0</v>
      </c>
      <c r="IU16" s="1">
        <f t="shared" si="68"/>
        <v>0</v>
      </c>
      <c r="IV16">
        <f t="shared" si="69"/>
        <v>0</v>
      </c>
    </row>
    <row r="17" ht="32.399999999999999" customHeight="1">
      <c r="A17" s="26" t="s">
        <v>31</v>
      </c>
      <c r="B17" s="2" t="s">
        <v>16</v>
      </c>
      <c r="C17" s="1">
        <v>24</v>
      </c>
      <c r="AH17" s="7">
        <f t="shared" si="61"/>
        <v>24</v>
      </c>
      <c r="AK17" s="27"/>
      <c r="BA17" s="18"/>
      <c r="BM17" s="1">
        <f t="shared" si="62"/>
        <v>0</v>
      </c>
      <c r="CS17" s="1">
        <f t="shared" si="63"/>
        <v>0</v>
      </c>
      <c r="IV17">
        <f t="shared" si="69"/>
        <v>24</v>
      </c>
    </row>
    <row r="18" ht="32.399999999999999" customHeight="1">
      <c r="A18" s="26" t="s">
        <v>32</v>
      </c>
      <c r="B18" s="2" t="s">
        <v>16</v>
      </c>
      <c r="AH18" s="7">
        <f t="shared" si="61"/>
        <v>0</v>
      </c>
      <c r="AK18" s="27"/>
      <c r="BM18" s="1">
        <f t="shared" si="62"/>
        <v>0</v>
      </c>
      <c r="CC18">
        <v>7</v>
      </c>
      <c r="CD18">
        <v>8</v>
      </c>
      <c r="CQ18">
        <v>50</v>
      </c>
      <c r="CR18">
        <v>220</v>
      </c>
      <c r="CS18" s="1">
        <f t="shared" si="63"/>
        <v>285</v>
      </c>
      <c r="CV18">
        <v>716</v>
      </c>
      <c r="CW18">
        <v>1129</v>
      </c>
      <c r="CX18">
        <v>512</v>
      </c>
      <c r="DM18">
        <v>170</v>
      </c>
      <c r="DN18">
        <v>155</v>
      </c>
      <c r="DY18" s="1">
        <f t="shared" si="64"/>
        <v>2682</v>
      </c>
      <c r="FD18" s="1">
        <f t="shared" si="65"/>
        <v>0</v>
      </c>
      <c r="GJ18" s="1">
        <f t="shared" si="66"/>
        <v>0</v>
      </c>
      <c r="HO18" s="1">
        <f t="shared" si="67"/>
        <v>0</v>
      </c>
      <c r="IU18" s="1">
        <f t="shared" si="68"/>
        <v>0</v>
      </c>
      <c r="IV18">
        <f t="shared" si="69"/>
        <v>2967</v>
      </c>
    </row>
    <row r="19" ht="32.399999999999999" customHeight="1">
      <c r="A19" s="5"/>
      <c r="B19" s="2"/>
      <c r="AH19" s="7">
        <f t="shared" si="61"/>
        <v>0</v>
      </c>
      <c r="BM19" s="1">
        <f t="shared" si="62"/>
        <v>0</v>
      </c>
    </row>
    <row r="20" ht="32.399999999999999" customHeight="1">
      <c r="A20" s="5"/>
      <c r="B20" s="2"/>
      <c r="AH20" s="7">
        <f t="shared" si="61"/>
        <v>0</v>
      </c>
      <c r="BM20" s="1">
        <f t="shared" si="62"/>
        <v>0</v>
      </c>
    </row>
    <row r="21" ht="32.399999999999999" customHeight="1">
      <c r="A21" s="5"/>
      <c r="B21" s="2"/>
      <c r="AH21" s="7">
        <f t="shared" si="61"/>
        <v>0</v>
      </c>
      <c r="BM21" s="1">
        <f t="shared" si="62"/>
        <v>0</v>
      </c>
    </row>
    <row r="22" ht="32.399999999999999" customHeight="1">
      <c r="A22" s="5"/>
      <c r="B22" s="2"/>
      <c r="AH22" s="7">
        <f t="shared" si="61"/>
        <v>0</v>
      </c>
      <c r="BM22" s="1">
        <f t="shared" si="62"/>
        <v>0</v>
      </c>
    </row>
    <row r="23" ht="32.399999999999999" customHeight="1">
      <c r="A23" s="5"/>
      <c r="B23" s="2"/>
      <c r="AH23" s="7">
        <f t="shared" si="61"/>
        <v>0</v>
      </c>
      <c r="BM23" s="1">
        <f t="shared" si="62"/>
        <v>0</v>
      </c>
    </row>
    <row r="86" ht="23.850000000000001">
      <c r="B86" s="5" t="s">
        <v>34</v>
      </c>
    </row>
    <row r="87" ht="17.350000000000001">
      <c r="B87" s="5" t="s">
        <v>35</v>
      </c>
    </row>
    <row r="88" ht="17.350000000000001">
      <c r="B88" s="5" t="s">
        <v>36</v>
      </c>
    </row>
    <row r="89" ht="17.350000000000001">
      <c r="B89" s="5" t="s">
        <v>37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rgb="FFFF7700"/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7" zoomScale="100" workbookViewId="0">
      <pane xSplit="1" topLeftCell="B1" activePane="topRight" state="frozen"/>
      <selection activeCell="C18" activeCellId="0" sqref="C18"/>
    </sheetView>
  </sheetViews>
  <sheetFormatPr defaultColWidth="12.67578125" defaultRowHeight="13.5"/>
  <cols>
    <col customWidth="1" min="1" max="1" style="1" width="42.329999999999998"/>
    <col customWidth="1" min="2" max="2" style="1" width="38.140000000000001"/>
    <col customWidth="0" hidden="1" min="34" max="34" style="1" width="12.67"/>
    <col customWidth="1" hidden="1" min="65" max="65" style="1" width="0"/>
    <col customWidth="0" hidden="1" min="97" max="97" style="1" width="12.67"/>
    <col customWidth="1" hidden="1" min="129" max="129" style="1" width="0"/>
    <col customWidth="0" hidden="1" min="160" max="160" style="1" width="12.67"/>
    <col customWidth="0" hidden="1" min="192" max="192" style="1" width="12.67"/>
    <col customWidth="0" hidden="1" min="223" max="223" style="1" width="12.67"/>
    <col customWidth="0" hidden="1" min="255" max="255" style="1" width="12.67"/>
  </cols>
  <sheetData>
    <row r="1" ht="34.200000000000003" customHeight="1">
      <c r="A1" s="28" t="s">
        <v>0</v>
      </c>
      <c r="B1" s="2" t="s">
        <v>1</v>
      </c>
      <c r="C1" s="3">
        <v>46143</v>
      </c>
      <c r="D1" s="3">
        <v>46144</v>
      </c>
      <c r="E1" s="3">
        <v>46145</v>
      </c>
      <c r="F1" s="3">
        <v>46146</v>
      </c>
      <c r="G1" s="3">
        <v>46147</v>
      </c>
      <c r="H1" s="3">
        <v>46148</v>
      </c>
      <c r="I1" s="3">
        <v>46149</v>
      </c>
      <c r="J1" s="3">
        <v>46150</v>
      </c>
      <c r="K1" s="3">
        <v>46151</v>
      </c>
      <c r="L1" s="3">
        <v>46152</v>
      </c>
      <c r="M1" s="3">
        <v>46153</v>
      </c>
      <c r="N1" s="3">
        <v>46154</v>
      </c>
      <c r="O1" s="3">
        <v>46155</v>
      </c>
      <c r="P1" s="3">
        <v>46156</v>
      </c>
      <c r="Q1" s="3">
        <v>46157</v>
      </c>
      <c r="R1" s="3">
        <v>46158</v>
      </c>
      <c r="S1" s="3">
        <v>46159</v>
      </c>
      <c r="T1" s="3">
        <v>46160</v>
      </c>
      <c r="U1" s="3">
        <v>46161</v>
      </c>
      <c r="V1" s="3">
        <v>46162</v>
      </c>
      <c r="W1" s="3">
        <v>46163</v>
      </c>
      <c r="X1" s="3">
        <v>46164</v>
      </c>
      <c r="Y1" s="3">
        <v>46165</v>
      </c>
      <c r="Z1" s="3">
        <v>46166</v>
      </c>
      <c r="AA1" s="3">
        <v>46167</v>
      </c>
      <c r="AB1" s="3">
        <v>46168</v>
      </c>
      <c r="AC1" s="3">
        <v>46169</v>
      </c>
      <c r="AD1" s="3">
        <v>46170</v>
      </c>
      <c r="AE1" s="3">
        <v>46171</v>
      </c>
      <c r="AF1" s="3">
        <v>46172</v>
      </c>
      <c r="AG1" s="3">
        <v>46173</v>
      </c>
      <c r="AH1" s="3" t="s">
        <v>2</v>
      </c>
      <c r="AI1" s="3">
        <v>46174</v>
      </c>
      <c r="AJ1" s="3">
        <v>46175</v>
      </c>
      <c r="AK1" s="3">
        <v>46176</v>
      </c>
      <c r="AL1" s="3">
        <v>46177</v>
      </c>
      <c r="AM1" s="3">
        <v>46178</v>
      </c>
      <c r="AN1" s="3">
        <v>46179</v>
      </c>
      <c r="AO1" s="3">
        <v>46180</v>
      </c>
      <c r="AP1" s="3">
        <v>46181</v>
      </c>
      <c r="AQ1" s="3">
        <v>46182</v>
      </c>
      <c r="AR1" s="3">
        <v>46183</v>
      </c>
      <c r="AS1" s="3">
        <v>46184</v>
      </c>
      <c r="AT1" s="3">
        <v>46185</v>
      </c>
      <c r="AU1" s="3">
        <v>46186</v>
      </c>
      <c r="AV1" s="3">
        <v>46187</v>
      </c>
      <c r="AW1" s="3">
        <v>46188</v>
      </c>
      <c r="AX1" s="3">
        <v>46189</v>
      </c>
      <c r="AY1" s="3">
        <v>46190</v>
      </c>
      <c r="AZ1" s="3">
        <v>46191</v>
      </c>
      <c r="BA1" s="3">
        <v>46192</v>
      </c>
      <c r="BB1" s="3">
        <v>46193</v>
      </c>
      <c r="BC1" s="3">
        <v>46194</v>
      </c>
      <c r="BD1" s="3">
        <v>46195</v>
      </c>
      <c r="BE1" s="3">
        <v>46196</v>
      </c>
      <c r="BF1" s="3">
        <v>46197</v>
      </c>
      <c r="BG1" s="3">
        <v>46198</v>
      </c>
      <c r="BH1" s="3">
        <v>46199</v>
      </c>
      <c r="BI1" s="3">
        <v>46200</v>
      </c>
      <c r="BJ1" s="3">
        <v>46201</v>
      </c>
      <c r="BK1" s="3">
        <v>46202</v>
      </c>
      <c r="BL1" s="3">
        <v>46203</v>
      </c>
      <c r="BM1" s="3" t="s">
        <v>3</v>
      </c>
      <c r="BN1" s="3">
        <v>46204</v>
      </c>
      <c r="BO1" s="3">
        <v>46205</v>
      </c>
      <c r="BP1" s="3">
        <v>46206</v>
      </c>
      <c r="BQ1" s="3">
        <v>46207</v>
      </c>
      <c r="BR1" s="3">
        <v>46208</v>
      </c>
      <c r="BS1" s="3">
        <v>46209</v>
      </c>
      <c r="BT1" s="3">
        <v>46210</v>
      </c>
      <c r="BU1" s="3">
        <v>46211</v>
      </c>
      <c r="BV1" s="3">
        <v>46212</v>
      </c>
      <c r="BW1" s="3">
        <v>46213</v>
      </c>
      <c r="BX1" s="3">
        <v>46214</v>
      </c>
      <c r="BY1" s="3">
        <v>46215</v>
      </c>
      <c r="BZ1" s="3">
        <v>46216</v>
      </c>
      <c r="CA1" s="3">
        <v>46217</v>
      </c>
      <c r="CB1" s="3">
        <v>46218</v>
      </c>
      <c r="CC1" s="3">
        <v>46219</v>
      </c>
      <c r="CD1" s="3">
        <v>46220</v>
      </c>
      <c r="CE1" s="3">
        <v>46221</v>
      </c>
      <c r="CF1" s="3">
        <v>46222</v>
      </c>
      <c r="CG1" s="3">
        <v>46223</v>
      </c>
      <c r="CH1" s="3">
        <v>46224</v>
      </c>
      <c r="CI1" s="3">
        <v>46225</v>
      </c>
      <c r="CJ1" s="3">
        <v>46226</v>
      </c>
      <c r="CK1" s="3">
        <v>46227</v>
      </c>
      <c r="CL1" s="3">
        <v>46228</v>
      </c>
      <c r="CM1" s="3">
        <v>46229</v>
      </c>
      <c r="CN1" s="3">
        <v>46230</v>
      </c>
      <c r="CO1" s="3">
        <v>46231</v>
      </c>
      <c r="CP1" s="3">
        <v>46232</v>
      </c>
      <c r="CQ1" s="3">
        <v>46233</v>
      </c>
      <c r="CR1" s="3">
        <v>46234</v>
      </c>
      <c r="CS1" s="3" t="s">
        <v>4</v>
      </c>
      <c r="CT1" s="3">
        <v>46235</v>
      </c>
      <c r="CU1" s="3">
        <v>46236</v>
      </c>
      <c r="CV1" s="3">
        <v>46237</v>
      </c>
      <c r="CW1" s="3">
        <v>46238</v>
      </c>
      <c r="CX1" s="3">
        <v>46239</v>
      </c>
      <c r="CY1" s="3">
        <v>46240</v>
      </c>
      <c r="CZ1" s="3">
        <v>46241</v>
      </c>
      <c r="DA1" s="3">
        <v>46242</v>
      </c>
      <c r="DB1" s="3">
        <v>46243</v>
      </c>
      <c r="DC1" s="3">
        <v>46244</v>
      </c>
      <c r="DD1" s="3">
        <v>46245</v>
      </c>
      <c r="DE1" s="3">
        <v>46246</v>
      </c>
      <c r="DF1" s="3">
        <v>46247</v>
      </c>
      <c r="DG1" s="3">
        <v>46248</v>
      </c>
      <c r="DH1" s="3">
        <v>46249</v>
      </c>
      <c r="DI1" s="3">
        <v>46250</v>
      </c>
      <c r="DJ1" s="3">
        <v>46251</v>
      </c>
      <c r="DK1" s="3">
        <v>46252</v>
      </c>
      <c r="DL1" s="3">
        <v>46253</v>
      </c>
      <c r="DM1" s="3">
        <v>46254</v>
      </c>
      <c r="DN1" s="3">
        <v>46255</v>
      </c>
      <c r="DO1" s="3">
        <v>46256</v>
      </c>
      <c r="DP1" s="3">
        <v>46257</v>
      </c>
      <c r="DQ1" s="3">
        <v>46258</v>
      </c>
      <c r="DR1" s="3">
        <v>46259</v>
      </c>
      <c r="DS1" s="3">
        <v>46260</v>
      </c>
      <c r="DT1" s="3">
        <v>46261</v>
      </c>
      <c r="DU1" s="3">
        <v>46262</v>
      </c>
      <c r="DV1" s="3">
        <v>46263</v>
      </c>
      <c r="DW1" s="3">
        <v>46264</v>
      </c>
      <c r="DX1" s="3">
        <v>46265</v>
      </c>
      <c r="DY1" s="3" t="s">
        <v>5</v>
      </c>
      <c r="DZ1" s="3">
        <v>46266</v>
      </c>
      <c r="EA1" s="3">
        <v>46267</v>
      </c>
      <c r="EB1" s="3">
        <v>46268</v>
      </c>
      <c r="EC1" s="3">
        <v>46269</v>
      </c>
      <c r="ED1" s="3">
        <v>46270</v>
      </c>
      <c r="EE1" s="3">
        <v>46271</v>
      </c>
      <c r="EF1" s="3">
        <v>46272</v>
      </c>
      <c r="EG1" s="3">
        <v>46273</v>
      </c>
      <c r="EH1" s="3">
        <v>46274</v>
      </c>
      <c r="EI1" s="3">
        <v>46275</v>
      </c>
      <c r="EJ1" s="3">
        <v>46276</v>
      </c>
      <c r="EK1" s="3">
        <v>46277</v>
      </c>
      <c r="EL1" s="3">
        <v>46278</v>
      </c>
      <c r="EM1" s="3">
        <v>46279</v>
      </c>
      <c r="EN1" s="3">
        <v>46280</v>
      </c>
      <c r="EO1" s="3">
        <v>46281</v>
      </c>
      <c r="EP1" s="3">
        <v>46282</v>
      </c>
      <c r="EQ1" s="3">
        <v>46283</v>
      </c>
      <c r="ER1" s="3">
        <v>46284</v>
      </c>
      <c r="ES1" s="3">
        <v>46285</v>
      </c>
      <c r="ET1" s="3">
        <v>46286</v>
      </c>
      <c r="EU1" s="3">
        <v>46287</v>
      </c>
      <c r="EV1" s="3">
        <v>46288</v>
      </c>
      <c r="EW1" s="3">
        <v>46289</v>
      </c>
      <c r="EX1" s="3">
        <v>46290</v>
      </c>
      <c r="EY1" s="3">
        <v>46291</v>
      </c>
      <c r="EZ1" s="3">
        <v>46292</v>
      </c>
      <c r="FA1" s="3">
        <v>46293</v>
      </c>
      <c r="FB1" s="3">
        <v>46294</v>
      </c>
      <c r="FC1" s="3">
        <v>46295</v>
      </c>
      <c r="FD1" s="3" t="s">
        <v>6</v>
      </c>
      <c r="FE1" s="3">
        <v>46296</v>
      </c>
      <c r="FF1" s="3">
        <v>46297</v>
      </c>
      <c r="FG1" s="3">
        <v>46298</v>
      </c>
      <c r="FH1" s="3">
        <v>46299</v>
      </c>
      <c r="FI1" s="3">
        <v>46300</v>
      </c>
      <c r="FJ1" s="3">
        <v>46301</v>
      </c>
      <c r="FK1" s="3">
        <v>46302</v>
      </c>
      <c r="FL1" s="3">
        <v>46303</v>
      </c>
      <c r="FM1" s="3">
        <v>46304</v>
      </c>
      <c r="FN1" s="3">
        <v>46305</v>
      </c>
      <c r="FO1" s="3">
        <v>46306</v>
      </c>
      <c r="FP1" s="3">
        <v>46307</v>
      </c>
      <c r="FQ1" s="3">
        <v>46308</v>
      </c>
      <c r="FR1" s="3">
        <v>46309</v>
      </c>
      <c r="FS1" s="3">
        <v>46310</v>
      </c>
      <c r="FT1" s="3">
        <v>46311</v>
      </c>
      <c r="FU1" s="3">
        <v>46312</v>
      </c>
      <c r="FV1" s="3">
        <v>46313</v>
      </c>
      <c r="FW1" s="3">
        <v>46314</v>
      </c>
      <c r="FX1" s="3">
        <v>46315</v>
      </c>
      <c r="FY1" s="3">
        <v>46316</v>
      </c>
      <c r="FZ1" s="3">
        <v>46317</v>
      </c>
      <c r="GA1" s="3">
        <v>46318</v>
      </c>
      <c r="GB1" s="3">
        <v>46319</v>
      </c>
      <c r="GC1" s="3">
        <v>46320</v>
      </c>
      <c r="GD1" s="3">
        <v>46321</v>
      </c>
      <c r="GE1" s="3">
        <v>46322</v>
      </c>
      <c r="GF1" s="3">
        <v>46323</v>
      </c>
      <c r="GG1" s="3">
        <v>46324</v>
      </c>
      <c r="GH1" s="3">
        <v>46325</v>
      </c>
      <c r="GI1" s="3">
        <v>46326</v>
      </c>
      <c r="GJ1" s="3" t="s">
        <v>7</v>
      </c>
      <c r="GK1" s="3">
        <v>46327</v>
      </c>
      <c r="GL1" s="3">
        <v>46328</v>
      </c>
      <c r="GM1" s="3">
        <v>46329</v>
      </c>
      <c r="GN1" s="3">
        <v>46330</v>
      </c>
      <c r="GO1" s="3">
        <v>46331</v>
      </c>
      <c r="GP1" s="3">
        <v>46332</v>
      </c>
      <c r="GQ1" s="3">
        <v>46333</v>
      </c>
      <c r="GR1" s="3">
        <v>46334</v>
      </c>
      <c r="GS1" s="3">
        <v>46335</v>
      </c>
      <c r="GT1" s="3">
        <v>46336</v>
      </c>
      <c r="GU1" s="3">
        <v>46337</v>
      </c>
      <c r="GV1" s="3">
        <v>46338</v>
      </c>
      <c r="GW1" s="3">
        <v>46339</v>
      </c>
      <c r="GX1" s="3">
        <v>46340</v>
      </c>
      <c r="GY1" s="3">
        <v>46341</v>
      </c>
      <c r="GZ1" s="3">
        <v>46342</v>
      </c>
      <c r="HA1" s="3">
        <v>46343</v>
      </c>
      <c r="HB1" s="3">
        <v>46344</v>
      </c>
      <c r="HC1" s="3">
        <v>46345</v>
      </c>
      <c r="HD1" s="3">
        <v>46346</v>
      </c>
      <c r="HE1" s="3">
        <v>46347</v>
      </c>
      <c r="HF1" s="3">
        <v>46348</v>
      </c>
      <c r="HG1" s="3">
        <v>46349</v>
      </c>
      <c r="HH1" s="3">
        <v>46350</v>
      </c>
      <c r="HI1" s="3">
        <v>46351</v>
      </c>
      <c r="HJ1" s="3">
        <v>46352</v>
      </c>
      <c r="HK1" s="3">
        <v>46353</v>
      </c>
      <c r="HL1" s="3">
        <v>46354</v>
      </c>
      <c r="HM1" s="3">
        <v>46355</v>
      </c>
      <c r="HN1" s="3">
        <v>46356</v>
      </c>
      <c r="HO1" s="3" t="s">
        <v>8</v>
      </c>
      <c r="HP1" s="3">
        <v>46357</v>
      </c>
      <c r="HQ1" s="3">
        <v>46358</v>
      </c>
      <c r="HR1" s="3">
        <v>46359</v>
      </c>
      <c r="HS1" s="3">
        <v>46360</v>
      </c>
      <c r="HT1" s="3">
        <v>46361</v>
      </c>
      <c r="HU1" s="3">
        <v>46362</v>
      </c>
      <c r="HV1" s="3">
        <v>46363</v>
      </c>
      <c r="HW1" s="3">
        <v>46364</v>
      </c>
      <c r="HX1" s="3">
        <v>46365</v>
      </c>
      <c r="HY1" s="3">
        <v>46366</v>
      </c>
      <c r="HZ1" s="3">
        <v>46367</v>
      </c>
      <c r="IA1" s="3">
        <v>46368</v>
      </c>
      <c r="IB1" s="3">
        <v>46369</v>
      </c>
      <c r="IC1" s="3">
        <v>46370</v>
      </c>
      <c r="ID1" s="3">
        <v>46371</v>
      </c>
      <c r="IE1" s="3">
        <v>46372</v>
      </c>
      <c r="IF1" s="3">
        <v>46373</v>
      </c>
      <c r="IG1" s="3">
        <v>46374</v>
      </c>
      <c r="IH1" s="3">
        <v>46375</v>
      </c>
      <c r="II1" s="3">
        <v>46376</v>
      </c>
      <c r="IJ1" s="3">
        <v>46377</v>
      </c>
      <c r="IK1" s="3">
        <v>46378</v>
      </c>
      <c r="IL1" s="3">
        <v>46379</v>
      </c>
      <c r="IM1" s="3">
        <v>46380</v>
      </c>
      <c r="IN1" s="3">
        <v>46381</v>
      </c>
      <c r="IO1" s="3">
        <v>46382</v>
      </c>
      <c r="IP1" s="3">
        <v>46383</v>
      </c>
      <c r="IQ1" s="3">
        <v>46384</v>
      </c>
      <c r="IR1" s="3">
        <v>46385</v>
      </c>
      <c r="IS1" s="3">
        <v>46386</v>
      </c>
      <c r="IT1" s="3">
        <v>46387</v>
      </c>
      <c r="IU1" s="4" t="s">
        <v>9</v>
      </c>
      <c r="IV1" t="s">
        <v>10</v>
      </c>
    </row>
    <row r="2" ht="88.200000000000003" customHeight="1">
      <c r="A2" s="29" t="s">
        <v>39</v>
      </c>
      <c r="B2" s="2" t="s">
        <v>12</v>
      </c>
      <c r="C2" s="6"/>
      <c r="AH2" s="7">
        <f t="shared" ref="AH2:AH9" si="70">SUM(C2:AG2)</f>
        <v>0</v>
      </c>
      <c r="BM2" s="1">
        <f t="shared" ref="BM2:BM9" si="71">SUM(AI2:BL2)</f>
        <v>0</v>
      </c>
      <c r="CS2" s="1">
        <f t="shared" ref="CS2:CS9" si="72">SUM(BN2:CR2)</f>
        <v>0</v>
      </c>
      <c r="DY2" s="1">
        <f t="shared" ref="DY2:DY9" si="73">SUM(CT2:DX2)</f>
        <v>0</v>
      </c>
      <c r="FD2" s="1">
        <f t="shared" ref="FD2:FD9" si="74">SUM(DZ2:FC2)</f>
        <v>0</v>
      </c>
      <c r="GJ2" s="1">
        <f t="shared" ref="GJ2:GJ9" si="75">SUM(FE2:GI2)</f>
        <v>0</v>
      </c>
      <c r="HO2" s="1">
        <f t="shared" ref="HO2:HO9" si="76">SUM(GK2:HN2)</f>
        <v>0</v>
      </c>
      <c r="IU2" s="1">
        <f t="shared" ref="IU2:IU9" si="77">SUM(HP2:IT2)</f>
        <v>0</v>
      </c>
      <c r="IV2">
        <f t="shared" ref="IV2:IV9" si="78">SUM(AH2,BM2,CS2,DY2,FD2,GJ2,HO2,IU2)</f>
        <v>0</v>
      </c>
    </row>
    <row r="3" ht="32.399999999999999" customHeight="1">
      <c r="A3" s="29" t="s">
        <v>15</v>
      </c>
      <c r="B3" s="2" t="s">
        <v>16</v>
      </c>
      <c r="AH3" s="7">
        <f t="shared" si="70"/>
        <v>0</v>
      </c>
      <c r="BM3" s="1">
        <f t="shared" si="71"/>
        <v>0</v>
      </c>
      <c r="CS3" s="1">
        <f t="shared" si="72"/>
        <v>0</v>
      </c>
      <c r="DY3" s="1">
        <f t="shared" si="73"/>
        <v>0</v>
      </c>
      <c r="FD3" s="1">
        <f t="shared" si="74"/>
        <v>0</v>
      </c>
      <c r="GJ3" s="1">
        <f t="shared" si="75"/>
        <v>0</v>
      </c>
      <c r="HO3" s="1">
        <f t="shared" si="76"/>
        <v>0</v>
      </c>
      <c r="IU3" s="1">
        <f t="shared" si="77"/>
        <v>0</v>
      </c>
      <c r="IV3">
        <f t="shared" si="78"/>
        <v>0</v>
      </c>
    </row>
    <row r="4" ht="32.399999999999999" customHeight="1">
      <c r="A4" s="29" t="s">
        <v>17</v>
      </c>
      <c r="B4" s="2" t="s">
        <v>16</v>
      </c>
      <c r="AH4" s="7">
        <f t="shared" si="70"/>
        <v>0</v>
      </c>
      <c r="BM4" s="1">
        <f t="shared" si="71"/>
        <v>0</v>
      </c>
      <c r="CS4" s="1">
        <f t="shared" si="72"/>
        <v>0</v>
      </c>
      <c r="DY4" s="1">
        <f t="shared" si="73"/>
        <v>0</v>
      </c>
      <c r="FD4" s="1">
        <f t="shared" si="74"/>
        <v>0</v>
      </c>
      <c r="GJ4" s="1">
        <f t="shared" si="75"/>
        <v>0</v>
      </c>
      <c r="HO4" s="1">
        <f t="shared" si="76"/>
        <v>0</v>
      </c>
      <c r="IU4" s="1">
        <f t="shared" si="77"/>
        <v>0</v>
      </c>
      <c r="IV4">
        <f t="shared" si="78"/>
        <v>0</v>
      </c>
    </row>
    <row r="5" ht="32.399999999999999" customHeight="1">
      <c r="A5" s="29" t="s">
        <v>18</v>
      </c>
      <c r="B5" s="2" t="s">
        <v>16</v>
      </c>
      <c r="AH5" s="7">
        <f t="shared" si="70"/>
        <v>0</v>
      </c>
      <c r="BM5" s="1">
        <f t="shared" si="71"/>
        <v>0</v>
      </c>
      <c r="CS5" s="1">
        <f t="shared" si="72"/>
        <v>0</v>
      </c>
      <c r="DY5" s="1">
        <f t="shared" si="73"/>
        <v>0</v>
      </c>
      <c r="FD5" s="1">
        <f t="shared" si="74"/>
        <v>0</v>
      </c>
      <c r="GJ5" s="1">
        <f t="shared" si="75"/>
        <v>0</v>
      </c>
      <c r="HO5" s="1">
        <f t="shared" si="76"/>
        <v>0</v>
      </c>
      <c r="IU5" s="1">
        <f t="shared" si="77"/>
        <v>0</v>
      </c>
      <c r="IV5">
        <f t="shared" si="78"/>
        <v>0</v>
      </c>
    </row>
    <row r="6" ht="32.399999999999999" customHeight="1">
      <c r="A6" s="29" t="s">
        <v>19</v>
      </c>
      <c r="B6" s="2" t="s">
        <v>16</v>
      </c>
      <c r="AH6" s="7">
        <f t="shared" si="70"/>
        <v>0</v>
      </c>
      <c r="BM6" s="1">
        <f t="shared" si="71"/>
        <v>0</v>
      </c>
      <c r="CS6" s="1">
        <f t="shared" si="72"/>
        <v>0</v>
      </c>
      <c r="DY6" s="1">
        <f t="shared" si="73"/>
        <v>0</v>
      </c>
      <c r="FD6" s="1">
        <f t="shared" si="74"/>
        <v>0</v>
      </c>
      <c r="GJ6" s="1">
        <f t="shared" si="75"/>
        <v>0</v>
      </c>
      <c r="HO6" s="1">
        <f t="shared" si="76"/>
        <v>0</v>
      </c>
      <c r="IU6" s="1">
        <f t="shared" si="77"/>
        <v>0</v>
      </c>
      <c r="IV6">
        <f t="shared" si="78"/>
        <v>0</v>
      </c>
    </row>
    <row r="7" ht="32.399999999999999" customHeight="1">
      <c r="A7" s="29" t="s">
        <v>20</v>
      </c>
      <c r="B7" s="2" t="s">
        <v>16</v>
      </c>
      <c r="AH7" s="7">
        <f t="shared" si="70"/>
        <v>0</v>
      </c>
      <c r="BM7" s="1">
        <f t="shared" si="71"/>
        <v>0</v>
      </c>
      <c r="CS7" s="1">
        <f t="shared" si="72"/>
        <v>0</v>
      </c>
      <c r="DY7" s="1">
        <f t="shared" si="73"/>
        <v>0</v>
      </c>
      <c r="FD7" s="1">
        <f t="shared" si="74"/>
        <v>0</v>
      </c>
      <c r="GJ7" s="1">
        <f t="shared" si="75"/>
        <v>0</v>
      </c>
      <c r="HO7" s="1">
        <f t="shared" si="76"/>
        <v>0</v>
      </c>
      <c r="IU7" s="1">
        <f t="shared" si="77"/>
        <v>0</v>
      </c>
      <c r="IV7">
        <f t="shared" si="78"/>
        <v>0</v>
      </c>
    </row>
    <row r="8" ht="32.399999999999999" customHeight="1">
      <c r="A8" s="29" t="s">
        <v>21</v>
      </c>
      <c r="B8" s="2" t="s">
        <v>22</v>
      </c>
      <c r="AH8" s="7">
        <f t="shared" si="70"/>
        <v>0</v>
      </c>
      <c r="BM8" s="1">
        <f t="shared" si="71"/>
        <v>0</v>
      </c>
      <c r="CS8" s="1">
        <f t="shared" si="72"/>
        <v>0</v>
      </c>
      <c r="DY8" s="1">
        <f t="shared" si="73"/>
        <v>0</v>
      </c>
      <c r="FD8" s="1">
        <f t="shared" si="74"/>
        <v>0</v>
      </c>
      <c r="GJ8" s="1">
        <f t="shared" si="75"/>
        <v>0</v>
      </c>
      <c r="HO8" s="1">
        <f t="shared" si="76"/>
        <v>0</v>
      </c>
      <c r="IU8" s="1">
        <f t="shared" si="77"/>
        <v>0</v>
      </c>
      <c r="IV8">
        <f t="shared" si="78"/>
        <v>0</v>
      </c>
    </row>
    <row r="9" ht="32.399999999999999" customHeight="1">
      <c r="A9" s="29" t="s">
        <v>23</v>
      </c>
      <c r="B9" s="2" t="s">
        <v>16</v>
      </c>
      <c r="C9" s="1">
        <v>120</v>
      </c>
      <c r="K9">
        <v>10</v>
      </c>
      <c r="L9">
        <v>6</v>
      </c>
      <c r="M9">
        <v>8</v>
      </c>
      <c r="N9">
        <v>20</v>
      </c>
      <c r="Q9">
        <v>38</v>
      </c>
      <c r="R9">
        <v>30</v>
      </c>
      <c r="AH9" s="7">
        <f t="shared" si="70"/>
        <v>232</v>
      </c>
      <c r="AQ9">
        <v>10</v>
      </c>
      <c r="AR9">
        <v>6</v>
      </c>
      <c r="AS9">
        <v>8</v>
      </c>
      <c r="AT9">
        <v>20</v>
      </c>
      <c r="AW9">
        <v>38</v>
      </c>
      <c r="AX9">
        <v>30</v>
      </c>
      <c r="AY9">
        <v>43</v>
      </c>
      <c r="AZ9">
        <v>56</v>
      </c>
      <c r="BA9">
        <v>52</v>
      </c>
      <c r="BB9" s="30"/>
      <c r="BC9" s="30"/>
      <c r="BD9" s="30">
        <v>36</v>
      </c>
      <c r="BE9" s="30">
        <v>47</v>
      </c>
      <c r="BF9" s="30">
        <v>43</v>
      </c>
      <c r="BG9">
        <v>45</v>
      </c>
      <c r="BH9">
        <v>34</v>
      </c>
      <c r="BK9">
        <v>46</v>
      </c>
      <c r="BL9">
        <v>53</v>
      </c>
      <c r="BM9" s="1">
        <f t="shared" si="71"/>
        <v>567</v>
      </c>
      <c r="BN9">
        <v>69</v>
      </c>
      <c r="BO9">
        <v>43</v>
      </c>
      <c r="BS9">
        <v>38</v>
      </c>
      <c r="BT9">
        <v>52</v>
      </c>
      <c r="BU9">
        <v>36</v>
      </c>
      <c r="BV9">
        <v>42</v>
      </c>
      <c r="BW9">
        <v>47</v>
      </c>
      <c r="BZ9">
        <v>94</v>
      </c>
      <c r="CA9">
        <v>51</v>
      </c>
      <c r="CB9">
        <v>42</v>
      </c>
      <c r="CC9">
        <v>47</v>
      </c>
      <c r="CD9">
        <v>44</v>
      </c>
      <c r="CG9">
        <v>60</v>
      </c>
      <c r="CH9">
        <v>32</v>
      </c>
      <c r="CI9">
        <v>27</v>
      </c>
      <c r="CJ9">
        <v>39</v>
      </c>
      <c r="CK9">
        <v>37</v>
      </c>
      <c r="CN9">
        <v>41</v>
      </c>
      <c r="CO9">
        <v>37</v>
      </c>
      <c r="CP9">
        <v>34</v>
      </c>
      <c r="CQ9">
        <v>31</v>
      </c>
      <c r="CR9">
        <v>35</v>
      </c>
      <c r="CS9" s="1">
        <f t="shared" si="72"/>
        <v>978</v>
      </c>
      <c r="CT9">
        <v>4</v>
      </c>
      <c r="CU9">
        <v>0</v>
      </c>
      <c r="CV9">
        <v>0</v>
      </c>
      <c r="CW9">
        <v>32</v>
      </c>
      <c r="CX9">
        <v>43</v>
      </c>
      <c r="CY9">
        <v>35</v>
      </c>
      <c r="CZ9">
        <v>29</v>
      </c>
      <c r="DC9">
        <v>37</v>
      </c>
      <c r="DD9">
        <v>41</v>
      </c>
      <c r="DE9">
        <v>45</v>
      </c>
      <c r="DF9">
        <v>43</v>
      </c>
      <c r="DG9">
        <v>39</v>
      </c>
      <c r="DH9">
        <v>33</v>
      </c>
      <c r="DK9">
        <v>37</v>
      </c>
      <c r="DL9">
        <v>22</v>
      </c>
      <c r="DM9">
        <v>47</v>
      </c>
      <c r="DN9">
        <v>33</v>
      </c>
      <c r="DO9" s="31"/>
      <c r="DP9" s="31"/>
      <c r="DQ9">
        <v>41</v>
      </c>
      <c r="DR9">
        <v>53</v>
      </c>
      <c r="DS9">
        <v>44</v>
      </c>
      <c r="DT9">
        <v>39</v>
      </c>
      <c r="DU9">
        <v>30</v>
      </c>
      <c r="DV9" s="31"/>
      <c r="DW9" s="31"/>
      <c r="DX9">
        <v>38</v>
      </c>
      <c r="DY9" s="1">
        <f t="shared" si="73"/>
        <v>765</v>
      </c>
      <c r="DZ9">
        <v>43</v>
      </c>
      <c r="EA9">
        <v>42</v>
      </c>
      <c r="EB9">
        <v>33</v>
      </c>
      <c r="EC9">
        <v>29</v>
      </c>
      <c r="ED9" s="31"/>
      <c r="EE9" s="31"/>
      <c r="EF9">
        <v>35</v>
      </c>
      <c r="EG9">
        <v>28</v>
      </c>
      <c r="EH9">
        <v>43</v>
      </c>
      <c r="EI9">
        <v>39</v>
      </c>
      <c r="EJ9">
        <v>32</v>
      </c>
      <c r="EK9" s="31"/>
      <c r="EL9" s="31"/>
      <c r="EM9">
        <v>31</v>
      </c>
      <c r="EN9">
        <v>37</v>
      </c>
      <c r="EO9">
        <v>41</v>
      </c>
      <c r="EP9">
        <v>47</v>
      </c>
      <c r="EQ9">
        <v>34</v>
      </c>
      <c r="ER9" s="31"/>
      <c r="ES9" s="31"/>
      <c r="ET9">
        <v>42</v>
      </c>
      <c r="EU9">
        <v>49</v>
      </c>
      <c r="EV9">
        <v>46</v>
      </c>
      <c r="EW9">
        <v>36</v>
      </c>
      <c r="EX9">
        <v>29</v>
      </c>
      <c r="EY9" s="31"/>
      <c r="EZ9" s="31"/>
      <c r="FA9">
        <v>39</v>
      </c>
      <c r="FB9">
        <v>45</v>
      </c>
      <c r="FC9">
        <v>39</v>
      </c>
      <c r="FD9" s="1">
        <f t="shared" si="74"/>
        <v>839</v>
      </c>
      <c r="FE9">
        <v>21</v>
      </c>
      <c r="GJ9" s="1">
        <f t="shared" si="75"/>
        <v>21</v>
      </c>
      <c r="HO9" s="1">
        <f t="shared" si="76"/>
        <v>0</v>
      </c>
      <c r="IU9" s="1">
        <f t="shared" si="77"/>
        <v>0</v>
      </c>
      <c r="IV9">
        <f t="shared" si="78"/>
        <v>3402</v>
      </c>
    </row>
    <row r="10" ht="32.399999999999999" customHeight="1">
      <c r="A10" s="29" t="s">
        <v>24</v>
      </c>
      <c r="B10" s="2" t="s">
        <v>16</v>
      </c>
      <c r="C10" s="1">
        <v>120</v>
      </c>
      <c r="K10">
        <v>10</v>
      </c>
      <c r="L10">
        <v>6</v>
      </c>
      <c r="M10">
        <v>8</v>
      </c>
      <c r="N10">
        <v>20</v>
      </c>
      <c r="Q10">
        <v>38</v>
      </c>
      <c r="R10">
        <v>66</v>
      </c>
      <c r="AH10" s="7">
        <f t="shared" ref="AH10:AH23" si="79">SUM(C10:AG10)</f>
        <v>268</v>
      </c>
      <c r="AQ10">
        <v>10</v>
      </c>
      <c r="AR10">
        <v>6</v>
      </c>
      <c r="AS10">
        <v>8</v>
      </c>
      <c r="AT10">
        <v>20</v>
      </c>
      <c r="AW10">
        <v>38</v>
      </c>
      <c r="AX10">
        <v>66</v>
      </c>
      <c r="AY10">
        <v>43</v>
      </c>
      <c r="AZ10">
        <v>56</v>
      </c>
      <c r="BA10">
        <v>52</v>
      </c>
      <c r="BB10" s="30"/>
      <c r="BC10" s="30"/>
      <c r="BD10" s="30">
        <v>36</v>
      </c>
      <c r="BE10" s="30">
        <v>47</v>
      </c>
      <c r="BF10" s="30">
        <v>43</v>
      </c>
      <c r="BG10" s="30">
        <v>45</v>
      </c>
      <c r="BH10">
        <v>34</v>
      </c>
      <c r="BK10">
        <v>46</v>
      </c>
      <c r="BL10">
        <v>53</v>
      </c>
      <c r="BM10" s="1">
        <f t="shared" ref="BM10:BM23" si="80">SUM(AI10:BL10)</f>
        <v>603</v>
      </c>
      <c r="BN10">
        <v>69</v>
      </c>
      <c r="BO10">
        <v>43</v>
      </c>
      <c r="BS10">
        <v>38</v>
      </c>
      <c r="BT10">
        <v>52</v>
      </c>
      <c r="BU10">
        <v>36</v>
      </c>
      <c r="BV10">
        <v>42</v>
      </c>
      <c r="BW10">
        <v>47</v>
      </c>
      <c r="BZ10">
        <v>94</v>
      </c>
      <c r="CA10">
        <v>51</v>
      </c>
      <c r="CB10">
        <v>42</v>
      </c>
      <c r="CC10">
        <v>47</v>
      </c>
      <c r="CD10">
        <v>44</v>
      </c>
      <c r="CG10">
        <v>60</v>
      </c>
      <c r="CH10">
        <v>32</v>
      </c>
      <c r="CI10">
        <v>27</v>
      </c>
      <c r="CJ10">
        <v>39</v>
      </c>
      <c r="CK10">
        <v>37</v>
      </c>
      <c r="CN10">
        <v>41</v>
      </c>
      <c r="CO10">
        <v>37</v>
      </c>
      <c r="CP10">
        <v>34</v>
      </c>
      <c r="CQ10">
        <v>31</v>
      </c>
      <c r="CR10">
        <v>35</v>
      </c>
      <c r="CS10" s="1">
        <f t="shared" ref="CS10:CS18" si="81">SUM(BN10:CR10)</f>
        <v>978</v>
      </c>
      <c r="CT10">
        <v>4</v>
      </c>
      <c r="CU10">
        <v>0</v>
      </c>
      <c r="CV10">
        <v>0</v>
      </c>
      <c r="CW10">
        <v>32</v>
      </c>
      <c r="CX10">
        <v>43</v>
      </c>
      <c r="CY10">
        <v>35</v>
      </c>
      <c r="CZ10">
        <v>29</v>
      </c>
      <c r="DC10">
        <v>37</v>
      </c>
      <c r="DD10">
        <v>41</v>
      </c>
      <c r="DE10">
        <v>45</v>
      </c>
      <c r="DF10">
        <v>43</v>
      </c>
      <c r="DG10">
        <v>39</v>
      </c>
      <c r="DH10">
        <v>33</v>
      </c>
      <c r="DK10">
        <v>37</v>
      </c>
      <c r="DL10">
        <v>22</v>
      </c>
      <c r="DM10">
        <v>47</v>
      </c>
      <c r="DN10">
        <v>33</v>
      </c>
      <c r="DO10" s="31"/>
      <c r="DP10" s="31"/>
      <c r="DQ10">
        <v>41</v>
      </c>
      <c r="DR10">
        <v>53</v>
      </c>
      <c r="DS10">
        <v>44</v>
      </c>
      <c r="DT10">
        <v>39</v>
      </c>
      <c r="DU10">
        <v>30</v>
      </c>
      <c r="DV10" s="31"/>
      <c r="DW10" s="31"/>
      <c r="DX10">
        <v>38</v>
      </c>
      <c r="DY10" s="1">
        <f t="shared" ref="DY10:DY19" si="82">SUM(CT10:DX10)</f>
        <v>765</v>
      </c>
      <c r="DZ10">
        <v>43</v>
      </c>
      <c r="EA10">
        <v>42</v>
      </c>
      <c r="EB10">
        <v>33</v>
      </c>
      <c r="EC10">
        <v>29</v>
      </c>
      <c r="ED10" s="31"/>
      <c r="EE10" s="31"/>
      <c r="EF10">
        <v>35</v>
      </c>
      <c r="EG10">
        <v>28</v>
      </c>
      <c r="EH10">
        <v>43</v>
      </c>
      <c r="EI10">
        <v>39</v>
      </c>
      <c r="EJ10">
        <v>32</v>
      </c>
      <c r="EK10" s="31"/>
      <c r="EL10" s="31"/>
      <c r="EM10">
        <v>31</v>
      </c>
      <c r="EN10">
        <v>37</v>
      </c>
      <c r="EO10">
        <v>41</v>
      </c>
      <c r="EP10">
        <v>47</v>
      </c>
      <c r="EQ10">
        <v>34</v>
      </c>
      <c r="ER10" s="31"/>
      <c r="ES10" s="31"/>
      <c r="ET10">
        <v>42</v>
      </c>
      <c r="EU10">
        <v>49</v>
      </c>
      <c r="EV10">
        <v>46</v>
      </c>
      <c r="EW10">
        <v>36</v>
      </c>
      <c r="EX10">
        <v>29</v>
      </c>
      <c r="EY10" s="31"/>
      <c r="EZ10" s="31"/>
      <c r="FA10">
        <v>39</v>
      </c>
      <c r="FB10">
        <v>45</v>
      </c>
      <c r="FC10">
        <v>39</v>
      </c>
      <c r="FD10" s="1">
        <f t="shared" ref="FD10:FD18" si="83">SUM(DZ10:FC10)</f>
        <v>839</v>
      </c>
      <c r="FE10">
        <v>21</v>
      </c>
      <c r="GJ10" s="1">
        <f t="shared" ref="GJ10:GJ18" si="84">SUM(FE10:GI10)</f>
        <v>21</v>
      </c>
      <c r="HO10" s="1">
        <f t="shared" ref="HO10:HO18" si="85">SUM(GK10:HN10)</f>
        <v>0</v>
      </c>
      <c r="IU10" s="1">
        <f t="shared" ref="IU10:IU18" si="86">SUM(HP10:IT10)</f>
        <v>0</v>
      </c>
      <c r="IV10">
        <f t="shared" ref="IV10:IV18" si="87">SUM(AH10,BM10,CS10,DY10,FD10,GJ10,HO10,IU10)</f>
        <v>3474</v>
      </c>
    </row>
    <row r="11" ht="32.399999999999999" customHeight="1">
      <c r="A11" s="29" t="s">
        <v>25</v>
      </c>
      <c r="B11" s="2" t="s">
        <v>16</v>
      </c>
      <c r="AH11" s="7">
        <f t="shared" si="79"/>
        <v>0</v>
      </c>
      <c r="BM11" s="1">
        <f t="shared" si="80"/>
        <v>0</v>
      </c>
      <c r="CS11" s="1">
        <f t="shared" si="81"/>
        <v>0</v>
      </c>
      <c r="DY11" s="1">
        <f t="shared" si="82"/>
        <v>0</v>
      </c>
      <c r="FD11" s="1">
        <f t="shared" si="83"/>
        <v>0</v>
      </c>
      <c r="GJ11" s="1">
        <f t="shared" si="84"/>
        <v>0</v>
      </c>
      <c r="HO11" s="1">
        <f t="shared" si="85"/>
        <v>0</v>
      </c>
      <c r="IU11" s="1">
        <f t="shared" si="86"/>
        <v>0</v>
      </c>
      <c r="IV11">
        <f t="shared" si="87"/>
        <v>0</v>
      </c>
    </row>
    <row r="12" ht="32.399999999999999" customHeight="1">
      <c r="A12" s="29" t="s">
        <v>26</v>
      </c>
      <c r="B12" s="2" t="s">
        <v>16</v>
      </c>
      <c r="AH12" s="7">
        <f t="shared" si="79"/>
        <v>0</v>
      </c>
      <c r="BM12" s="1">
        <f t="shared" si="80"/>
        <v>0</v>
      </c>
      <c r="CS12" s="1">
        <f t="shared" si="81"/>
        <v>0</v>
      </c>
      <c r="DY12" s="1">
        <f t="shared" si="82"/>
        <v>0</v>
      </c>
      <c r="FD12" s="1">
        <f t="shared" si="83"/>
        <v>0</v>
      </c>
      <c r="GJ12" s="1">
        <f t="shared" si="84"/>
        <v>0</v>
      </c>
      <c r="HO12" s="1">
        <f t="shared" si="85"/>
        <v>0</v>
      </c>
      <c r="IU12" s="1">
        <f t="shared" si="86"/>
        <v>0</v>
      </c>
      <c r="IV12">
        <f t="shared" si="87"/>
        <v>0</v>
      </c>
    </row>
    <row r="13" ht="32.399999999999999" customHeight="1">
      <c r="A13" s="29" t="s">
        <v>27</v>
      </c>
      <c r="B13" s="2" t="s">
        <v>16</v>
      </c>
      <c r="AH13" s="7">
        <f t="shared" si="79"/>
        <v>0</v>
      </c>
      <c r="BM13" s="1">
        <f t="shared" si="80"/>
        <v>0</v>
      </c>
      <c r="CS13" s="1">
        <f t="shared" si="81"/>
        <v>0</v>
      </c>
      <c r="DY13" s="1">
        <f t="shared" si="82"/>
        <v>0</v>
      </c>
      <c r="FD13" s="1">
        <f t="shared" si="83"/>
        <v>0</v>
      </c>
      <c r="GJ13" s="1">
        <f t="shared" si="84"/>
        <v>0</v>
      </c>
      <c r="HO13" s="1">
        <f t="shared" si="85"/>
        <v>0</v>
      </c>
      <c r="IU13" s="1">
        <f t="shared" si="86"/>
        <v>0</v>
      </c>
      <c r="IV13">
        <f t="shared" si="87"/>
        <v>0</v>
      </c>
    </row>
    <row r="14" ht="32.399999999999999" customHeight="1">
      <c r="A14" s="29" t="s">
        <v>28</v>
      </c>
      <c r="B14" s="2" t="s">
        <v>16</v>
      </c>
      <c r="AH14" s="7">
        <f t="shared" si="79"/>
        <v>0</v>
      </c>
      <c r="BM14" s="1">
        <f t="shared" si="80"/>
        <v>0</v>
      </c>
      <c r="CS14" s="1">
        <f t="shared" si="81"/>
        <v>0</v>
      </c>
      <c r="DY14" s="1">
        <f t="shared" si="82"/>
        <v>0</v>
      </c>
      <c r="FD14" s="1">
        <f t="shared" si="83"/>
        <v>0</v>
      </c>
      <c r="GJ14" s="1">
        <f t="shared" si="84"/>
        <v>0</v>
      </c>
      <c r="HO14" s="1">
        <f t="shared" si="85"/>
        <v>0</v>
      </c>
      <c r="IU14" s="1">
        <f t="shared" si="86"/>
        <v>0</v>
      </c>
      <c r="IV14">
        <f t="shared" si="87"/>
        <v>0</v>
      </c>
    </row>
    <row r="15" ht="32.399999999999999" customHeight="1">
      <c r="A15" s="29" t="s">
        <v>29</v>
      </c>
      <c r="B15" s="2" t="s">
        <v>16</v>
      </c>
      <c r="AH15" s="7">
        <f t="shared" si="79"/>
        <v>0</v>
      </c>
      <c r="BM15" s="1">
        <f t="shared" si="80"/>
        <v>0</v>
      </c>
      <c r="CS15" s="1">
        <f t="shared" si="81"/>
        <v>0</v>
      </c>
      <c r="DY15" s="1">
        <f t="shared" si="82"/>
        <v>0</v>
      </c>
      <c r="FD15" s="1">
        <f t="shared" si="83"/>
        <v>0</v>
      </c>
      <c r="GJ15" s="1">
        <f t="shared" si="84"/>
        <v>0</v>
      </c>
      <c r="HO15" s="1">
        <f t="shared" si="85"/>
        <v>0</v>
      </c>
      <c r="IU15" s="1">
        <f t="shared" si="86"/>
        <v>0</v>
      </c>
      <c r="IV15">
        <f t="shared" si="87"/>
        <v>0</v>
      </c>
    </row>
    <row r="16" ht="32.399999999999999" customHeight="1">
      <c r="A16" s="29" t="s">
        <v>30</v>
      </c>
      <c r="B16" s="2" t="s">
        <v>22</v>
      </c>
      <c r="AH16" s="7">
        <f t="shared" si="79"/>
        <v>0</v>
      </c>
      <c r="BM16" s="1">
        <f t="shared" si="80"/>
        <v>0</v>
      </c>
      <c r="CS16" s="1">
        <f t="shared" si="81"/>
        <v>0</v>
      </c>
      <c r="DY16" s="1">
        <f t="shared" si="82"/>
        <v>0</v>
      </c>
      <c r="FD16" s="1">
        <f t="shared" si="83"/>
        <v>0</v>
      </c>
      <c r="GJ16" s="1">
        <f t="shared" si="84"/>
        <v>0</v>
      </c>
      <c r="HO16" s="1">
        <f t="shared" si="85"/>
        <v>0</v>
      </c>
      <c r="IU16" s="1">
        <f t="shared" si="86"/>
        <v>0</v>
      </c>
      <c r="IV16">
        <f t="shared" si="87"/>
        <v>0</v>
      </c>
    </row>
    <row r="17" ht="32.399999999999999" customHeight="1">
      <c r="A17" s="29" t="s">
        <v>31</v>
      </c>
      <c r="B17" s="2" t="s">
        <v>16</v>
      </c>
      <c r="C17" s="1">
        <v>45</v>
      </c>
      <c r="AH17" s="7">
        <f t="shared" si="79"/>
        <v>45</v>
      </c>
      <c r="BL17">
        <v>104</v>
      </c>
      <c r="BM17" s="1">
        <f t="shared" si="80"/>
        <v>104</v>
      </c>
      <c r="CW17">
        <v>5</v>
      </c>
      <c r="CX17">
        <v>9</v>
      </c>
      <c r="CY17">
        <v>10</v>
      </c>
      <c r="CZ17">
        <v>7</v>
      </c>
      <c r="DC17">
        <v>13</v>
      </c>
      <c r="DD17">
        <v>12</v>
      </c>
      <c r="DE17">
        <v>14</v>
      </c>
      <c r="DF17">
        <v>14</v>
      </c>
      <c r="DG17">
        <v>12</v>
      </c>
      <c r="DH17">
        <v>11</v>
      </c>
      <c r="DK17">
        <v>11</v>
      </c>
      <c r="DL17">
        <v>9</v>
      </c>
      <c r="DM17">
        <v>9</v>
      </c>
      <c r="DN17">
        <v>6</v>
      </c>
      <c r="DQ17">
        <v>12</v>
      </c>
      <c r="DR17">
        <v>5</v>
      </c>
      <c r="DS17">
        <v>6</v>
      </c>
      <c r="DT17">
        <v>5</v>
      </c>
      <c r="DU17">
        <v>4</v>
      </c>
      <c r="DX17">
        <v>5</v>
      </c>
      <c r="DY17" s="1">
        <f t="shared" si="82"/>
        <v>179</v>
      </c>
      <c r="DZ17">
        <v>4</v>
      </c>
      <c r="EA17">
        <v>2</v>
      </c>
      <c r="EB17">
        <v>4</v>
      </c>
      <c r="EC17">
        <v>3</v>
      </c>
      <c r="EF17">
        <v>3</v>
      </c>
      <c r="EG17">
        <v>2</v>
      </c>
      <c r="EH17">
        <v>4</v>
      </c>
      <c r="EI17">
        <v>6</v>
      </c>
      <c r="EJ17">
        <v>2</v>
      </c>
      <c r="EM17">
        <v>3</v>
      </c>
      <c r="EN17">
        <v>2</v>
      </c>
      <c r="EO17">
        <v>3</v>
      </c>
      <c r="EP17">
        <v>4</v>
      </c>
      <c r="EQ17">
        <v>3</v>
      </c>
      <c r="ET17">
        <v>6</v>
      </c>
      <c r="EU17">
        <v>3</v>
      </c>
      <c r="EV17">
        <v>3</v>
      </c>
      <c r="EW17">
        <v>4</v>
      </c>
      <c r="EX17">
        <v>2</v>
      </c>
      <c r="FA17">
        <v>3</v>
      </c>
      <c r="FB17">
        <v>0</v>
      </c>
      <c r="FC17">
        <v>4</v>
      </c>
      <c r="FE17">
        <v>2</v>
      </c>
      <c r="IV17">
        <f t="shared" si="87"/>
        <v>328</v>
      </c>
    </row>
    <row r="18" ht="32.399999999999999" customHeight="1">
      <c r="A18" s="29" t="s">
        <v>32</v>
      </c>
      <c r="B18" s="2" t="s">
        <v>16</v>
      </c>
      <c r="AH18" s="7">
        <f t="shared" si="79"/>
        <v>0</v>
      </c>
      <c r="BM18" s="1">
        <f t="shared" si="80"/>
        <v>0</v>
      </c>
      <c r="CS18" s="1">
        <f t="shared" si="81"/>
        <v>0</v>
      </c>
      <c r="DY18" s="1">
        <f t="shared" si="82"/>
        <v>0</v>
      </c>
      <c r="FD18" s="1">
        <f t="shared" si="83"/>
        <v>0</v>
      </c>
      <c r="GJ18" s="1">
        <f t="shared" si="84"/>
        <v>0</v>
      </c>
      <c r="HO18" s="1">
        <f t="shared" si="85"/>
        <v>0</v>
      </c>
      <c r="IU18" s="1">
        <f t="shared" si="86"/>
        <v>0</v>
      </c>
      <c r="IV18">
        <f t="shared" si="87"/>
        <v>0</v>
      </c>
    </row>
    <row r="19" ht="32.399999999999999" customHeight="1">
      <c r="A19" s="29"/>
      <c r="B19" s="2"/>
      <c r="K19" t="s">
        <v>42</v>
      </c>
      <c r="L19" t="s">
        <v>43</v>
      </c>
      <c r="M19" t="s">
        <v>44</v>
      </c>
      <c r="N19" t="s">
        <v>45</v>
      </c>
      <c r="Q19" t="s">
        <v>46</v>
      </c>
      <c r="R19" t="s">
        <v>47</v>
      </c>
      <c r="AH19" s="7">
        <f t="shared" si="79"/>
        <v>0</v>
      </c>
      <c r="AQ19" s="30" t="s">
        <v>42</v>
      </c>
      <c r="AR19" t="s">
        <v>43</v>
      </c>
      <c r="AS19" t="s">
        <v>44</v>
      </c>
      <c r="AT19" t="s">
        <v>45</v>
      </c>
      <c r="AW19" t="s">
        <v>46</v>
      </c>
      <c r="AX19" t="s">
        <v>47</v>
      </c>
      <c r="AY19" t="s">
        <v>48</v>
      </c>
      <c r="AZ19" t="s">
        <v>49</v>
      </c>
      <c r="BA19" t="s">
        <v>50</v>
      </c>
      <c r="BD19" t="s">
        <v>51</v>
      </c>
      <c r="BE19" t="s">
        <v>52</v>
      </c>
      <c r="BF19" t="s">
        <v>53</v>
      </c>
      <c r="BG19" t="s">
        <v>54</v>
      </c>
      <c r="BH19" t="s">
        <v>55</v>
      </c>
      <c r="BK19" t="s">
        <v>56</v>
      </c>
      <c r="BL19" t="s">
        <v>57</v>
      </c>
      <c r="BM19" s="1">
        <f t="shared" si="80"/>
        <v>0</v>
      </c>
      <c r="BN19" t="s">
        <v>58</v>
      </c>
      <c r="BO19" t="s">
        <v>59</v>
      </c>
      <c r="BT19" t="s">
        <v>60</v>
      </c>
      <c r="BU19" t="s">
        <v>61</v>
      </c>
      <c r="BV19" t="s">
        <v>62</v>
      </c>
      <c r="BW19" t="s">
        <v>63</v>
      </c>
      <c r="BZ19" t="s">
        <v>64</v>
      </c>
      <c r="CA19" t="s">
        <v>65</v>
      </c>
      <c r="CB19" t="s">
        <v>66</v>
      </c>
      <c r="CC19" t="s">
        <v>67</v>
      </c>
      <c r="CD19" t="s">
        <v>68</v>
      </c>
      <c r="CG19" t="s">
        <v>69</v>
      </c>
      <c r="CH19" t="s">
        <v>70</v>
      </c>
      <c r="CI19" t="s">
        <v>71</v>
      </c>
      <c r="CJ19" t="s">
        <v>72</v>
      </c>
      <c r="CK19" t="s">
        <v>73</v>
      </c>
      <c r="CN19" t="s">
        <v>74</v>
      </c>
      <c r="CO19" t="s">
        <v>75</v>
      </c>
      <c r="CP19" t="s">
        <v>76</v>
      </c>
      <c r="CQ19" t="s">
        <v>77</v>
      </c>
      <c r="CT19" t="s">
        <v>78</v>
      </c>
      <c r="CU19" t="s">
        <v>79</v>
      </c>
      <c r="CV19" t="s">
        <v>80</v>
      </c>
      <c r="CW19" t="s">
        <v>81</v>
      </c>
      <c r="CX19" t="s">
        <v>82</v>
      </c>
      <c r="CY19" t="s">
        <v>83</v>
      </c>
      <c r="CZ19" t="s">
        <v>84</v>
      </c>
      <c r="DC19" t="s">
        <v>85</v>
      </c>
      <c r="DD19" t="s">
        <v>86</v>
      </c>
      <c r="DE19" t="s">
        <v>87</v>
      </c>
      <c r="DF19" t="s">
        <v>88</v>
      </c>
      <c r="DH19" t="s">
        <v>89</v>
      </c>
      <c r="DK19" t="s">
        <v>90</v>
      </c>
      <c r="DL19" t="s">
        <v>91</v>
      </c>
      <c r="DM19" t="s">
        <v>92</v>
      </c>
      <c r="DN19" t="s">
        <v>93</v>
      </c>
      <c r="DQ19" t="s">
        <v>94</v>
      </c>
      <c r="DR19" s="30" t="s">
        <v>95</v>
      </c>
      <c r="DS19" t="s">
        <v>96</v>
      </c>
      <c r="DT19" t="s">
        <v>97</v>
      </c>
      <c r="DU19" t="s">
        <v>98</v>
      </c>
      <c r="DX19" t="s">
        <v>99</v>
      </c>
      <c r="DY19" s="1">
        <f t="shared" si="82"/>
        <v>0</v>
      </c>
      <c r="DZ19" t="s">
        <v>100</v>
      </c>
      <c r="EA19" t="s">
        <v>101</v>
      </c>
      <c r="EB19" t="s">
        <v>102</v>
      </c>
      <c r="EC19" t="s">
        <v>103</v>
      </c>
      <c r="EF19" t="s">
        <v>104</v>
      </c>
      <c r="EG19" t="s">
        <v>105</v>
      </c>
      <c r="EH19" t="s">
        <v>106</v>
      </c>
      <c r="EI19" t="s">
        <v>107</v>
      </c>
      <c r="EJ19" t="s">
        <v>108</v>
      </c>
      <c r="EM19" t="s">
        <v>109</v>
      </c>
      <c r="EN19" t="s">
        <v>110</v>
      </c>
      <c r="EO19" t="s">
        <v>111</v>
      </c>
      <c r="EP19" t="s">
        <v>112</v>
      </c>
      <c r="EQ19" t="s">
        <v>113</v>
      </c>
      <c r="ET19" t="s">
        <v>114</v>
      </c>
      <c r="EU19" t="s">
        <v>115</v>
      </c>
      <c r="EV19" t="s">
        <v>116</v>
      </c>
      <c r="EW19" t="s">
        <v>117</v>
      </c>
      <c r="EX19" t="s">
        <v>118</v>
      </c>
      <c r="FA19" t="s">
        <v>119</v>
      </c>
      <c r="FB19" t="s">
        <v>120</v>
      </c>
      <c r="FC19" t="s">
        <v>121</v>
      </c>
      <c r="FE19" t="s">
        <v>122</v>
      </c>
    </row>
    <row r="20" ht="32.399999999999999" customHeight="1">
      <c r="A20" s="5"/>
      <c r="B20" s="2"/>
      <c r="AH20" s="7">
        <f t="shared" si="79"/>
        <v>0</v>
      </c>
      <c r="BM20" s="1">
        <f t="shared" si="80"/>
        <v>0</v>
      </c>
    </row>
    <row r="21" ht="32.399999999999999" customHeight="1">
      <c r="A21" s="5"/>
      <c r="B21" s="2"/>
      <c r="AH21" s="7">
        <f t="shared" si="79"/>
        <v>0</v>
      </c>
      <c r="BM21" s="1">
        <f t="shared" si="80"/>
        <v>0</v>
      </c>
    </row>
    <row r="22" ht="32.399999999999999" customHeight="1">
      <c r="A22" s="5"/>
      <c r="B22" s="2"/>
      <c r="AH22" s="7">
        <f t="shared" si="79"/>
        <v>0</v>
      </c>
      <c r="BM22" s="1">
        <f t="shared" si="80"/>
        <v>0</v>
      </c>
    </row>
    <row r="23" ht="32.399999999999999" customHeight="1">
      <c r="A23" s="5"/>
      <c r="B23" s="2"/>
      <c r="AH23" s="7">
        <f t="shared" si="79"/>
        <v>0</v>
      </c>
      <c r="BM23" s="1">
        <f t="shared" si="80"/>
        <v>0</v>
      </c>
    </row>
    <row r="86" ht="23.850000000000001">
      <c r="B86" s="5" t="s">
        <v>34</v>
      </c>
    </row>
    <row r="87" ht="13.800000000000001">
      <c r="B87" s="5" t="s">
        <v>35</v>
      </c>
    </row>
    <row r="88" ht="13.800000000000001">
      <c r="B88" s="5" t="s">
        <v>36</v>
      </c>
    </row>
    <row r="89" ht="13.800000000000001">
      <c r="B89" s="5" t="s">
        <v>37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&amp;C&amp;12Страница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theme="7" tint="0.59999389629810485"/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xSplit="1" topLeftCell="B1" activePane="topRight" state="frozen"/>
      <selection activeCell="C3" activeCellId="0" sqref="C3"/>
    </sheetView>
  </sheetViews>
  <sheetFormatPr defaultColWidth="12.67578125" defaultRowHeight="13.5"/>
  <cols>
    <col customWidth="1" min="1" max="1" style="1" width="42.329999999999998"/>
    <col customWidth="1" min="2" max="2" style="1" width="38.140000000000001"/>
    <col customWidth="1" hidden="1" min="3" max="33" width="0"/>
    <col customWidth="0" hidden="1" min="34" max="34" style="1" width="12.67"/>
    <col customWidth="1" hidden="1" min="35" max="64" width="0"/>
    <col customWidth="1" hidden="1" min="65" max="65" style="1" width="0"/>
    <col customWidth="1" hidden="1" min="66" max="96" width="0"/>
    <col customWidth="0" hidden="1" min="97" max="97" style="1" width="12.67"/>
    <col customWidth="1" hidden="1" min="98" max="128" width="0"/>
    <col customWidth="0" hidden="1" min="129" max="129" style="1" width="12.67"/>
    <col customWidth="1" hidden="1" min="130" max="159" width="0"/>
    <col customWidth="0" hidden="1" min="160" max="160" style="1" width="12.67"/>
    <col customWidth="1" hidden="1" min="163" max="164" width="0"/>
    <col customWidth="0" hidden="1" min="192" max="192" style="1" width="12.67"/>
    <col customWidth="0" hidden="1" min="223" max="223" style="1" width="12.67"/>
    <col customWidth="0" hidden="1" min="255" max="255" style="1" width="12.67"/>
  </cols>
  <sheetData>
    <row r="1" ht="34.200000000000003" customHeight="1">
      <c r="A1" s="32" t="s">
        <v>0</v>
      </c>
      <c r="B1" s="2" t="s">
        <v>1</v>
      </c>
      <c r="C1" s="3">
        <v>46143</v>
      </c>
      <c r="D1" s="3">
        <v>46144</v>
      </c>
      <c r="E1" s="3">
        <v>46145</v>
      </c>
      <c r="F1" s="3">
        <v>46146</v>
      </c>
      <c r="G1" s="3">
        <v>46147</v>
      </c>
      <c r="H1" s="3">
        <v>46148</v>
      </c>
      <c r="I1" s="3">
        <v>46149</v>
      </c>
      <c r="J1" s="3">
        <v>46150</v>
      </c>
      <c r="K1" s="3">
        <v>46151</v>
      </c>
      <c r="L1" s="3">
        <v>46152</v>
      </c>
      <c r="M1" s="3">
        <v>46153</v>
      </c>
      <c r="N1" s="3">
        <v>46154</v>
      </c>
      <c r="O1" s="3">
        <v>46155</v>
      </c>
      <c r="P1" s="3">
        <v>46156</v>
      </c>
      <c r="Q1" s="3">
        <v>46157</v>
      </c>
      <c r="R1" s="3">
        <v>46158</v>
      </c>
      <c r="S1" s="3">
        <v>46159</v>
      </c>
      <c r="T1" s="3">
        <v>46160</v>
      </c>
      <c r="U1" s="3">
        <v>46161</v>
      </c>
      <c r="V1" s="3">
        <v>46162</v>
      </c>
      <c r="W1" s="3">
        <v>46163</v>
      </c>
      <c r="X1" s="3">
        <v>46164</v>
      </c>
      <c r="Y1" s="3">
        <v>46165</v>
      </c>
      <c r="Z1" s="3">
        <v>46166</v>
      </c>
      <c r="AA1" s="3">
        <v>46167</v>
      </c>
      <c r="AB1" s="3">
        <v>46168</v>
      </c>
      <c r="AC1" s="3">
        <v>46169</v>
      </c>
      <c r="AD1" s="3">
        <v>46170</v>
      </c>
      <c r="AE1" s="3">
        <v>46171</v>
      </c>
      <c r="AF1" s="3">
        <v>46172</v>
      </c>
      <c r="AG1" s="3">
        <v>46173</v>
      </c>
      <c r="AH1" s="3" t="s">
        <v>2</v>
      </c>
      <c r="AI1" s="3">
        <v>46174</v>
      </c>
      <c r="AJ1" s="3">
        <v>46175</v>
      </c>
      <c r="AK1" s="3">
        <v>46176</v>
      </c>
      <c r="AL1" s="3">
        <v>46177</v>
      </c>
      <c r="AM1" s="3">
        <v>46178</v>
      </c>
      <c r="AN1" s="3">
        <v>46179</v>
      </c>
      <c r="AO1" s="3">
        <v>46180</v>
      </c>
      <c r="AP1" s="3">
        <v>46181</v>
      </c>
      <c r="AQ1" s="3">
        <v>46182</v>
      </c>
      <c r="AR1" s="3">
        <v>46183</v>
      </c>
      <c r="AS1" s="3">
        <v>46184</v>
      </c>
      <c r="AT1" s="3">
        <v>46185</v>
      </c>
      <c r="AU1" s="3">
        <v>46186</v>
      </c>
      <c r="AV1" s="3">
        <v>46187</v>
      </c>
      <c r="AW1" s="3">
        <v>46188</v>
      </c>
      <c r="AX1" s="3">
        <v>46189</v>
      </c>
      <c r="AY1" s="3">
        <v>46190</v>
      </c>
      <c r="AZ1" s="3">
        <v>46191</v>
      </c>
      <c r="BA1" s="3">
        <v>46192</v>
      </c>
      <c r="BB1" s="3">
        <v>46193</v>
      </c>
      <c r="BC1" s="3">
        <v>46194</v>
      </c>
      <c r="BD1" s="3">
        <v>46195</v>
      </c>
      <c r="BE1" s="3">
        <v>46196</v>
      </c>
      <c r="BF1" s="3">
        <v>46197</v>
      </c>
      <c r="BG1" s="3">
        <v>46198</v>
      </c>
      <c r="BH1" s="3">
        <v>46199</v>
      </c>
      <c r="BI1" s="3">
        <v>46200</v>
      </c>
      <c r="BJ1" s="3">
        <v>46201</v>
      </c>
      <c r="BK1" s="3">
        <v>46202</v>
      </c>
      <c r="BL1" s="3">
        <v>46203</v>
      </c>
      <c r="BM1" s="3" t="s">
        <v>3</v>
      </c>
      <c r="BN1" s="3">
        <v>46204</v>
      </c>
      <c r="BO1" s="3">
        <v>46205</v>
      </c>
      <c r="BP1" s="3">
        <v>46206</v>
      </c>
      <c r="BQ1" s="3">
        <v>46207</v>
      </c>
      <c r="BR1" s="3">
        <v>46208</v>
      </c>
      <c r="BS1" s="3">
        <v>46209</v>
      </c>
      <c r="BT1" s="3">
        <v>46210</v>
      </c>
      <c r="BU1" s="3">
        <v>46211</v>
      </c>
      <c r="BV1" s="3">
        <v>46212</v>
      </c>
      <c r="BW1" s="3">
        <v>46213</v>
      </c>
      <c r="BX1" s="3">
        <v>46214</v>
      </c>
      <c r="BY1" s="3">
        <v>46215</v>
      </c>
      <c r="BZ1" s="3">
        <v>46216</v>
      </c>
      <c r="CA1" s="3">
        <v>46217</v>
      </c>
      <c r="CB1" s="3">
        <v>46218</v>
      </c>
      <c r="CC1" s="3">
        <v>46219</v>
      </c>
      <c r="CD1" s="3">
        <v>46220</v>
      </c>
      <c r="CE1" s="3">
        <v>46221</v>
      </c>
      <c r="CF1" s="3">
        <v>46222</v>
      </c>
      <c r="CG1" s="3">
        <v>46223</v>
      </c>
      <c r="CH1" s="3">
        <v>46224</v>
      </c>
      <c r="CI1" s="3">
        <v>46225</v>
      </c>
      <c r="CJ1" s="3">
        <v>46226</v>
      </c>
      <c r="CK1" s="3">
        <v>46227</v>
      </c>
      <c r="CL1" s="3">
        <v>46228</v>
      </c>
      <c r="CM1" s="3">
        <v>46229</v>
      </c>
      <c r="CN1" s="3">
        <v>46230</v>
      </c>
      <c r="CO1" s="3">
        <v>46231</v>
      </c>
      <c r="CP1" s="3">
        <v>46232</v>
      </c>
      <c r="CQ1" s="3">
        <v>46233</v>
      </c>
      <c r="CR1" s="3">
        <v>46234</v>
      </c>
      <c r="CS1" s="3" t="s">
        <v>4</v>
      </c>
      <c r="CT1" s="3">
        <v>46235</v>
      </c>
      <c r="CU1" s="3">
        <v>46236</v>
      </c>
      <c r="CV1" s="3">
        <v>46237</v>
      </c>
      <c r="CW1" s="3">
        <v>46238</v>
      </c>
      <c r="CX1" s="3">
        <v>46239</v>
      </c>
      <c r="CY1" s="3">
        <v>46240</v>
      </c>
      <c r="CZ1" s="3">
        <v>46241</v>
      </c>
      <c r="DA1" s="3">
        <v>46242</v>
      </c>
      <c r="DB1" s="3">
        <v>46243</v>
      </c>
      <c r="DC1" s="3">
        <v>46244</v>
      </c>
      <c r="DD1" s="3">
        <v>46245</v>
      </c>
      <c r="DE1" s="3">
        <v>46246</v>
      </c>
      <c r="DF1" s="3">
        <v>46247</v>
      </c>
      <c r="DG1" s="3">
        <v>46248</v>
      </c>
      <c r="DH1" s="3">
        <v>46249</v>
      </c>
      <c r="DI1" s="3">
        <v>46250</v>
      </c>
      <c r="DJ1" s="3">
        <v>46251</v>
      </c>
      <c r="DK1" s="3">
        <v>46252</v>
      </c>
      <c r="DL1" s="3">
        <v>46253</v>
      </c>
      <c r="DM1" s="3">
        <v>46254</v>
      </c>
      <c r="DN1" s="3">
        <v>46255</v>
      </c>
      <c r="DO1" s="3">
        <v>46256</v>
      </c>
      <c r="DP1" s="3">
        <v>46257</v>
      </c>
      <c r="DQ1" s="3">
        <v>46258</v>
      </c>
      <c r="DR1" s="3">
        <v>46259</v>
      </c>
      <c r="DS1" s="3">
        <v>46260</v>
      </c>
      <c r="DT1" s="3">
        <v>46261</v>
      </c>
      <c r="DU1" s="3">
        <v>46262</v>
      </c>
      <c r="DV1" s="3">
        <v>46263</v>
      </c>
      <c r="DW1" s="3">
        <v>46264</v>
      </c>
      <c r="DX1" s="3">
        <v>46265</v>
      </c>
      <c r="DY1" s="3" t="s">
        <v>5</v>
      </c>
      <c r="DZ1" s="3">
        <v>46266</v>
      </c>
      <c r="EA1" s="3">
        <v>46267</v>
      </c>
      <c r="EB1" s="3">
        <v>46268</v>
      </c>
      <c r="EC1" s="3">
        <v>46269</v>
      </c>
      <c r="ED1" s="3">
        <v>46270</v>
      </c>
      <c r="EE1" s="3">
        <v>46271</v>
      </c>
      <c r="EF1" s="3">
        <v>46272</v>
      </c>
      <c r="EG1" s="3">
        <v>46273</v>
      </c>
      <c r="EH1" s="3">
        <v>46274</v>
      </c>
      <c r="EI1" s="3">
        <v>46275</v>
      </c>
      <c r="EJ1" s="3">
        <v>46276</v>
      </c>
      <c r="EK1" s="3">
        <v>46277</v>
      </c>
      <c r="EL1" s="3">
        <v>46278</v>
      </c>
      <c r="EM1" s="3">
        <v>46279</v>
      </c>
      <c r="EN1" s="3">
        <v>46280</v>
      </c>
      <c r="EO1" s="3">
        <v>46281</v>
      </c>
      <c r="EP1" s="3">
        <v>46282</v>
      </c>
      <c r="EQ1" s="3">
        <v>46283</v>
      </c>
      <c r="ER1" s="3">
        <v>46284</v>
      </c>
      <c r="ES1" s="3">
        <v>46285</v>
      </c>
      <c r="ET1" s="3">
        <v>46286</v>
      </c>
      <c r="EU1" s="3">
        <v>46287</v>
      </c>
      <c r="EV1" s="3">
        <v>46288</v>
      </c>
      <c r="EW1" s="3">
        <v>46289</v>
      </c>
      <c r="EX1" s="3">
        <v>46290</v>
      </c>
      <c r="EY1" s="3">
        <v>46291</v>
      </c>
      <c r="EZ1" s="3">
        <v>46292</v>
      </c>
      <c r="FA1" s="3">
        <v>46293</v>
      </c>
      <c r="FB1" s="3">
        <v>46294</v>
      </c>
      <c r="FC1" s="3">
        <v>46295</v>
      </c>
      <c r="FD1" s="3" t="s">
        <v>6</v>
      </c>
      <c r="FE1" s="3">
        <v>46296</v>
      </c>
      <c r="FF1" s="3">
        <v>46297</v>
      </c>
      <c r="FG1" s="3">
        <v>46298</v>
      </c>
      <c r="FH1" s="3">
        <v>46299</v>
      </c>
      <c r="FI1" s="3">
        <v>46300</v>
      </c>
      <c r="FJ1" s="3">
        <v>46301</v>
      </c>
      <c r="FK1" s="3">
        <v>46302</v>
      </c>
      <c r="FL1" s="3">
        <v>46303</v>
      </c>
      <c r="FM1" s="3">
        <v>46304</v>
      </c>
      <c r="FN1" s="3">
        <v>46305</v>
      </c>
      <c r="FO1" s="3">
        <v>46306</v>
      </c>
      <c r="FP1" s="3">
        <v>46307</v>
      </c>
      <c r="FQ1" s="3">
        <v>46308</v>
      </c>
      <c r="FR1" s="3">
        <v>46309</v>
      </c>
      <c r="FS1" s="3">
        <v>46310</v>
      </c>
      <c r="FT1" s="3">
        <v>46311</v>
      </c>
      <c r="FU1" s="3">
        <v>46312</v>
      </c>
      <c r="FV1" s="3">
        <v>46313</v>
      </c>
      <c r="FW1" s="3">
        <v>46314</v>
      </c>
      <c r="FX1" s="3">
        <v>46315</v>
      </c>
      <c r="FY1" s="3">
        <v>46316</v>
      </c>
      <c r="FZ1" s="3">
        <v>46317</v>
      </c>
      <c r="GA1" s="3">
        <v>46318</v>
      </c>
      <c r="GB1" s="3">
        <v>46319</v>
      </c>
      <c r="GC1" s="3">
        <v>46320</v>
      </c>
      <c r="GD1" s="3">
        <v>46321</v>
      </c>
      <c r="GE1" s="3">
        <v>46322</v>
      </c>
      <c r="GF1" s="3">
        <v>46323</v>
      </c>
      <c r="GG1" s="3">
        <v>46324</v>
      </c>
      <c r="GH1" s="3">
        <v>46325</v>
      </c>
      <c r="GI1" s="3">
        <v>46326</v>
      </c>
      <c r="GJ1" s="3" t="s">
        <v>7</v>
      </c>
      <c r="GK1" s="3">
        <v>46327</v>
      </c>
      <c r="GL1" s="3">
        <v>46328</v>
      </c>
      <c r="GM1" s="3">
        <v>46329</v>
      </c>
      <c r="GN1" s="3">
        <v>46330</v>
      </c>
      <c r="GO1" s="3">
        <v>46331</v>
      </c>
      <c r="GP1" s="3">
        <v>46332</v>
      </c>
      <c r="GQ1" s="3">
        <v>46333</v>
      </c>
      <c r="GR1" s="3">
        <v>46334</v>
      </c>
      <c r="GS1" s="3">
        <v>46335</v>
      </c>
      <c r="GT1" s="3">
        <v>46336</v>
      </c>
      <c r="GU1" s="3">
        <v>46337</v>
      </c>
      <c r="GV1" s="3">
        <v>46338</v>
      </c>
      <c r="GW1" s="3">
        <v>46339</v>
      </c>
      <c r="GX1" s="3">
        <v>46340</v>
      </c>
      <c r="GY1" s="3">
        <v>46341</v>
      </c>
      <c r="GZ1" s="3">
        <v>46342</v>
      </c>
      <c r="HA1" s="3">
        <v>46343</v>
      </c>
      <c r="HB1" s="3">
        <v>46344</v>
      </c>
      <c r="HC1" s="3">
        <v>46345</v>
      </c>
      <c r="HD1" s="3">
        <v>46346</v>
      </c>
      <c r="HE1" s="3">
        <v>46347</v>
      </c>
      <c r="HF1" s="3">
        <v>46348</v>
      </c>
      <c r="HG1" s="3">
        <v>46349</v>
      </c>
      <c r="HH1" s="3">
        <v>46350</v>
      </c>
      <c r="HI1" s="3">
        <v>46351</v>
      </c>
      <c r="HJ1" s="3">
        <v>46352</v>
      </c>
      <c r="HK1" s="3">
        <v>46353</v>
      </c>
      <c r="HL1" s="3">
        <v>46354</v>
      </c>
      <c r="HM1" s="3">
        <v>46355</v>
      </c>
      <c r="HN1" s="3">
        <v>46356</v>
      </c>
      <c r="HO1" s="3" t="s">
        <v>8</v>
      </c>
      <c r="HP1" s="3">
        <v>46357</v>
      </c>
      <c r="HQ1" s="3">
        <v>46358</v>
      </c>
      <c r="HR1" s="3">
        <v>46359</v>
      </c>
      <c r="HS1" s="3">
        <v>46360</v>
      </c>
      <c r="HT1" s="3">
        <v>46361</v>
      </c>
      <c r="HU1" s="3">
        <v>46362</v>
      </c>
      <c r="HV1" s="3">
        <v>46363</v>
      </c>
      <c r="HW1" s="3">
        <v>46364</v>
      </c>
      <c r="HX1" s="3">
        <v>46365</v>
      </c>
      <c r="HY1" s="3">
        <v>46366</v>
      </c>
      <c r="HZ1" s="3">
        <v>46367</v>
      </c>
      <c r="IA1" s="3">
        <v>46368</v>
      </c>
      <c r="IB1" s="3">
        <v>46369</v>
      </c>
      <c r="IC1" s="3">
        <v>46370</v>
      </c>
      <c r="ID1" s="3">
        <v>46371</v>
      </c>
      <c r="IE1" s="3">
        <v>46372</v>
      </c>
      <c r="IF1" s="3">
        <v>46373</v>
      </c>
      <c r="IG1" s="3">
        <v>46374</v>
      </c>
      <c r="IH1" s="3">
        <v>46375</v>
      </c>
      <c r="II1" s="3">
        <v>46376</v>
      </c>
      <c r="IJ1" s="3">
        <v>46377</v>
      </c>
      <c r="IK1" s="3">
        <v>46378</v>
      </c>
      <c r="IL1" s="3">
        <v>46379</v>
      </c>
      <c r="IM1" s="3">
        <v>46380</v>
      </c>
      <c r="IN1" s="3">
        <v>46381</v>
      </c>
      <c r="IO1" s="3">
        <v>46382</v>
      </c>
      <c r="IP1" s="3">
        <v>46383</v>
      </c>
      <c r="IQ1" s="3">
        <v>46384</v>
      </c>
      <c r="IR1" s="3">
        <v>46385</v>
      </c>
      <c r="IS1" s="3">
        <v>46386</v>
      </c>
      <c r="IT1" s="3">
        <v>46387</v>
      </c>
      <c r="IU1" s="4" t="s">
        <v>9</v>
      </c>
      <c r="IV1" t="s">
        <v>10</v>
      </c>
    </row>
    <row r="2" ht="88.200000000000003" customHeight="1">
      <c r="A2" s="33" t="s">
        <v>39</v>
      </c>
      <c r="B2" s="2" t="s">
        <v>12</v>
      </c>
      <c r="C2" s="6">
        <v>3056.6300000000001</v>
      </c>
      <c r="AH2" s="7">
        <f t="shared" ref="AH2:AH9" si="88">SUM(C2:AG2)</f>
        <v>3056.6300000000001</v>
      </c>
      <c r="AI2">
        <v>2076.8800000000001</v>
      </c>
      <c r="AJ2">
        <v>40.530000000000001</v>
      </c>
      <c r="AK2">
        <v>45.32</v>
      </c>
      <c r="AM2">
        <v>57.93</v>
      </c>
      <c r="AP2">
        <v>38.630000000000003</v>
      </c>
      <c r="AR2">
        <v>299.5</v>
      </c>
      <c r="AT2">
        <v>88.620000000000005</v>
      </c>
      <c r="BM2" s="1">
        <f t="shared" ref="BM2:BM9" si="89">SUM(AI2:BL2)</f>
        <v>2647.4100000000003</v>
      </c>
      <c r="BO2">
        <v>1156.78</v>
      </c>
      <c r="BS2">
        <v>319.87</v>
      </c>
      <c r="BT2">
        <v>27.449999999999999</v>
      </c>
      <c r="CP2">
        <v>116.05</v>
      </c>
      <c r="CR2">
        <v>186.66999999999999</v>
      </c>
      <c r="CS2" s="1">
        <f t="shared" ref="CS2:CS9" si="90">SUM(BN2:CR2)</f>
        <v>1806.8200000000002</v>
      </c>
      <c r="CV2">
        <v>66.420000000000002</v>
      </c>
      <c r="CY2">
        <v>11.640000000000001</v>
      </c>
      <c r="DD2">
        <v>40.939999999999998</v>
      </c>
      <c r="DG2">
        <v>146.00999999999999</v>
      </c>
      <c r="DK2">
        <v>285.5</v>
      </c>
      <c r="DQ2">
        <v>191.58000000000001</v>
      </c>
      <c r="DS2">
        <v>1028.53</v>
      </c>
      <c r="DT2">
        <v>9.8300000000000001</v>
      </c>
      <c r="DU2">
        <v>73.310000000000002</v>
      </c>
      <c r="DY2" s="1">
        <f t="shared" ref="DY2:DY9" si="91">SUM(CT2:DX2)</f>
        <v>1853.7599999999998</v>
      </c>
      <c r="DZ2">
        <v>68.640000000000001</v>
      </c>
      <c r="EC2">
        <v>26.050000000000001</v>
      </c>
      <c r="EF2">
        <v>43.060000000000002</v>
      </c>
      <c r="EG2">
        <v>74.700000000000003</v>
      </c>
      <c r="EH2">
        <v>2679.5700000000002</v>
      </c>
      <c r="EI2">
        <v>44</v>
      </c>
      <c r="EN2">
        <v>50.689999999999998</v>
      </c>
      <c r="EP2">
        <v>109.2</v>
      </c>
      <c r="EQ2">
        <v>96.579999999999998</v>
      </c>
      <c r="FD2" s="1">
        <f t="shared" ref="FD2:FD9" si="92">SUM(DZ2:FC2)</f>
        <v>3192.4899999999998</v>
      </c>
      <c r="FF2">
        <v>183.43000000000001</v>
      </c>
      <c r="GJ2" s="1">
        <f t="shared" ref="GJ2:GJ9" si="93">SUM(FE2:GI2)</f>
        <v>183.43000000000001</v>
      </c>
      <c r="HO2" s="1">
        <f t="shared" ref="HO2:HO9" si="94">SUM(GK2:HN2)</f>
        <v>0</v>
      </c>
      <c r="IT2">
        <v>1500</v>
      </c>
      <c r="IU2" s="1">
        <f t="shared" ref="IU2:IU9" si="95">SUM(HP2:IT2)</f>
        <v>1500</v>
      </c>
      <c r="IV2">
        <f t="shared" ref="IV2:IV9" si="96">SUM(AH2,BM2,CS2,DY2,FD2,GJ2,HO2,IU2)</f>
        <v>14240.540000000001</v>
      </c>
    </row>
    <row r="3" ht="32.399999999999999" customHeight="1">
      <c r="A3" s="33" t="s">
        <v>15</v>
      </c>
      <c r="B3" s="2" t="s">
        <v>16</v>
      </c>
      <c r="C3" s="1">
        <v>50</v>
      </c>
      <c r="AH3" s="7">
        <f t="shared" si="88"/>
        <v>50</v>
      </c>
      <c r="AK3">
        <v>1</v>
      </c>
      <c r="AL3">
        <v>1</v>
      </c>
      <c r="AM3">
        <v>1</v>
      </c>
      <c r="AT3">
        <v>1</v>
      </c>
      <c r="BM3" s="1">
        <f t="shared" si="89"/>
        <v>4</v>
      </c>
      <c r="BV3">
        <v>2</v>
      </c>
      <c r="CQ3">
        <v>2</v>
      </c>
      <c r="CR3">
        <v>1</v>
      </c>
      <c r="CS3" s="1">
        <f t="shared" si="90"/>
        <v>5</v>
      </c>
      <c r="CX3">
        <v>3</v>
      </c>
      <c r="CY3">
        <v>1</v>
      </c>
      <c r="CZ3">
        <v>2</v>
      </c>
      <c r="DC3">
        <v>1</v>
      </c>
      <c r="DD3">
        <v>1</v>
      </c>
      <c r="DE3">
        <v>2</v>
      </c>
      <c r="DF3">
        <v>3</v>
      </c>
      <c r="DJ3">
        <v>1</v>
      </c>
      <c r="DN3">
        <v>1</v>
      </c>
      <c r="DY3" s="1">
        <f t="shared" si="91"/>
        <v>15</v>
      </c>
      <c r="DZ3">
        <v>1</v>
      </c>
      <c r="EA3">
        <v>1</v>
      </c>
      <c r="EF3">
        <v>1</v>
      </c>
      <c r="EJ3">
        <v>2</v>
      </c>
      <c r="EM3">
        <v>3</v>
      </c>
      <c r="EN3">
        <v>1</v>
      </c>
      <c r="FD3" s="1">
        <f t="shared" si="92"/>
        <v>9</v>
      </c>
      <c r="FE3">
        <v>1</v>
      </c>
      <c r="FI3">
        <v>11</v>
      </c>
      <c r="GJ3" s="1">
        <f t="shared" si="93"/>
        <v>12</v>
      </c>
      <c r="HO3" s="1">
        <f t="shared" si="94"/>
        <v>0</v>
      </c>
      <c r="IT3">
        <v>51</v>
      </c>
      <c r="IU3" s="1">
        <f t="shared" si="95"/>
        <v>51</v>
      </c>
      <c r="IV3">
        <f t="shared" si="96"/>
        <v>146</v>
      </c>
    </row>
    <row r="4" ht="32.399999999999999" customHeight="1">
      <c r="A4" s="33" t="s">
        <v>17</v>
      </c>
      <c r="B4" s="2" t="s">
        <v>16</v>
      </c>
      <c r="C4" s="1">
        <v>50</v>
      </c>
      <c r="AH4" s="7">
        <f t="shared" si="88"/>
        <v>50</v>
      </c>
      <c r="AJ4" s="1"/>
      <c r="AK4">
        <v>2</v>
      </c>
      <c r="AL4">
        <v>2</v>
      </c>
      <c r="AM4">
        <v>2</v>
      </c>
      <c r="AT4">
        <v>2</v>
      </c>
      <c r="AZ4">
        <v>2</v>
      </c>
      <c r="BM4" s="1">
        <f t="shared" si="89"/>
        <v>10</v>
      </c>
      <c r="CS4" s="1">
        <f t="shared" si="90"/>
        <v>0</v>
      </c>
      <c r="CX4">
        <v>9</v>
      </c>
      <c r="DE4">
        <v>4</v>
      </c>
      <c r="DG4">
        <v>3</v>
      </c>
      <c r="DN4">
        <v>3</v>
      </c>
      <c r="DR4">
        <v>1</v>
      </c>
      <c r="DT4">
        <v>8</v>
      </c>
      <c r="DU4">
        <v>1</v>
      </c>
      <c r="DY4" s="1">
        <f t="shared" si="91"/>
        <v>29</v>
      </c>
      <c r="EC4">
        <v>2</v>
      </c>
      <c r="EF4">
        <v>3</v>
      </c>
      <c r="EI4">
        <v>3</v>
      </c>
      <c r="EJ4">
        <v>2</v>
      </c>
      <c r="EM4">
        <v>3</v>
      </c>
      <c r="EN4">
        <v>1</v>
      </c>
      <c r="FB4">
        <v>5</v>
      </c>
      <c r="FC4">
        <v>5</v>
      </c>
      <c r="FD4" s="1">
        <f t="shared" si="92"/>
        <v>24</v>
      </c>
      <c r="FI4">
        <v>14</v>
      </c>
      <c r="GJ4" s="1">
        <f t="shared" si="93"/>
        <v>14</v>
      </c>
      <c r="HO4" s="1">
        <f t="shared" si="94"/>
        <v>0</v>
      </c>
      <c r="IT4">
        <v>128</v>
      </c>
      <c r="IU4" s="1">
        <f t="shared" si="95"/>
        <v>128</v>
      </c>
      <c r="IV4">
        <f t="shared" si="96"/>
        <v>255</v>
      </c>
    </row>
    <row r="5" ht="32.399999999999999" customHeight="1">
      <c r="A5" s="33" t="s">
        <v>123</v>
      </c>
      <c r="B5" s="2" t="s">
        <v>16</v>
      </c>
      <c r="C5" s="1">
        <v>50</v>
      </c>
      <c r="AH5" s="7">
        <f t="shared" si="88"/>
        <v>50</v>
      </c>
      <c r="AJ5" s="1"/>
      <c r="AL5">
        <v>2</v>
      </c>
      <c r="AM5">
        <v>2</v>
      </c>
      <c r="AS5">
        <v>6</v>
      </c>
      <c r="AT5">
        <v>2</v>
      </c>
      <c r="AZ5">
        <v>2</v>
      </c>
      <c r="BM5" s="1">
        <f t="shared" si="89"/>
        <v>14</v>
      </c>
      <c r="CS5" s="1">
        <f t="shared" si="90"/>
        <v>0</v>
      </c>
      <c r="CX5">
        <v>5</v>
      </c>
      <c r="CY5">
        <v>1</v>
      </c>
      <c r="DC5">
        <v>1</v>
      </c>
      <c r="DD5">
        <v>1</v>
      </c>
      <c r="DE5">
        <v>4</v>
      </c>
      <c r="DN5">
        <v>9</v>
      </c>
      <c r="DR5">
        <v>1</v>
      </c>
      <c r="DT5">
        <v>8</v>
      </c>
      <c r="DU5">
        <v>1</v>
      </c>
      <c r="DY5" s="1">
        <f t="shared" si="91"/>
        <v>31</v>
      </c>
      <c r="EC5">
        <v>4</v>
      </c>
      <c r="EF5">
        <v>3</v>
      </c>
      <c r="EG5">
        <v>3</v>
      </c>
      <c r="EI5">
        <v>3</v>
      </c>
      <c r="EJ5">
        <v>2</v>
      </c>
      <c r="EM5">
        <v>3</v>
      </c>
      <c r="EN5">
        <v>1</v>
      </c>
      <c r="FB5">
        <v>4</v>
      </c>
      <c r="FC5">
        <v>6</v>
      </c>
      <c r="FD5" s="1">
        <f t="shared" si="92"/>
        <v>29</v>
      </c>
      <c r="GJ5" s="1">
        <f t="shared" si="93"/>
        <v>0</v>
      </c>
      <c r="HO5" s="1">
        <f t="shared" si="94"/>
        <v>0</v>
      </c>
      <c r="IT5">
        <v>129</v>
      </c>
      <c r="IU5" s="1">
        <f t="shared" si="95"/>
        <v>129</v>
      </c>
      <c r="IV5">
        <f t="shared" si="96"/>
        <v>253</v>
      </c>
    </row>
    <row r="6" ht="32.399999999999999" customHeight="1">
      <c r="A6" s="33" t="s">
        <v>19</v>
      </c>
      <c r="B6" s="2" t="s">
        <v>16</v>
      </c>
      <c r="C6" s="1">
        <v>2</v>
      </c>
      <c r="AH6" s="7">
        <f t="shared" si="88"/>
        <v>2</v>
      </c>
      <c r="AL6">
        <v>2</v>
      </c>
      <c r="AY6">
        <v>18</v>
      </c>
      <c r="AZ6">
        <v>1</v>
      </c>
      <c r="BM6" s="1">
        <f t="shared" si="89"/>
        <v>21</v>
      </c>
      <c r="BO6">
        <v>3</v>
      </c>
      <c r="BT6">
        <v>1</v>
      </c>
      <c r="BU6">
        <v>1</v>
      </c>
      <c r="BV6">
        <v>5</v>
      </c>
      <c r="CN6">
        <v>7</v>
      </c>
      <c r="CO6">
        <v>32</v>
      </c>
      <c r="CR6">
        <v>1</v>
      </c>
      <c r="CS6" s="1">
        <f t="shared" si="90"/>
        <v>50</v>
      </c>
      <c r="CY6" s="34"/>
      <c r="CZ6" s="30">
        <v>4</v>
      </c>
      <c r="DA6" s="30"/>
      <c r="DB6" s="30"/>
      <c r="DC6" s="30">
        <v>2</v>
      </c>
      <c r="DD6" s="30"/>
      <c r="DE6" s="30"/>
      <c r="DF6" s="30">
        <v>2</v>
      </c>
      <c r="DG6" s="30">
        <v>3</v>
      </c>
      <c r="DJ6">
        <v>3</v>
      </c>
      <c r="DL6">
        <v>5</v>
      </c>
      <c r="DN6">
        <v>3</v>
      </c>
      <c r="DQ6">
        <v>1</v>
      </c>
      <c r="DR6">
        <v>2</v>
      </c>
      <c r="DT6">
        <v>9</v>
      </c>
      <c r="DX6">
        <v>3</v>
      </c>
      <c r="DY6" s="1">
        <f t="shared" si="91"/>
        <v>37</v>
      </c>
      <c r="EB6">
        <v>3</v>
      </c>
      <c r="EM6">
        <v>2</v>
      </c>
      <c r="EN6">
        <v>2</v>
      </c>
      <c r="EP6">
        <v>1</v>
      </c>
      <c r="FB6">
        <v>1</v>
      </c>
      <c r="FD6" s="1">
        <f t="shared" si="92"/>
        <v>9</v>
      </c>
      <c r="FE6">
        <v>2</v>
      </c>
      <c r="FI6">
        <v>1</v>
      </c>
      <c r="GJ6" s="1">
        <f t="shared" si="93"/>
        <v>3</v>
      </c>
      <c r="HO6" s="1">
        <f t="shared" si="94"/>
        <v>0</v>
      </c>
      <c r="IT6">
        <v>30</v>
      </c>
      <c r="IU6" s="1">
        <f t="shared" si="95"/>
        <v>30</v>
      </c>
      <c r="IV6">
        <f t="shared" si="96"/>
        <v>152</v>
      </c>
    </row>
    <row r="7" ht="32.399999999999999" customHeight="1">
      <c r="A7" s="33" t="s">
        <v>20</v>
      </c>
      <c r="B7" s="2" t="s">
        <v>16</v>
      </c>
      <c r="C7" s="1">
        <v>1</v>
      </c>
      <c r="AH7" s="7">
        <f t="shared" si="88"/>
        <v>1</v>
      </c>
      <c r="AJ7">
        <v>1</v>
      </c>
      <c r="AL7">
        <v>3</v>
      </c>
      <c r="AS7">
        <v>1</v>
      </c>
      <c r="AX7">
        <v>2</v>
      </c>
      <c r="BM7" s="1">
        <f t="shared" si="89"/>
        <v>7</v>
      </c>
      <c r="BO7">
        <v>3</v>
      </c>
      <c r="BT7">
        <v>1</v>
      </c>
      <c r="BU7">
        <v>2</v>
      </c>
      <c r="BV7">
        <v>1</v>
      </c>
      <c r="CN7">
        <v>3</v>
      </c>
      <c r="CO7">
        <v>2</v>
      </c>
      <c r="CR7">
        <v>3</v>
      </c>
      <c r="CS7" s="1">
        <f t="shared" si="90"/>
        <v>15</v>
      </c>
      <c r="DC7">
        <v>2</v>
      </c>
      <c r="DE7">
        <v>1</v>
      </c>
      <c r="DF7">
        <v>2</v>
      </c>
      <c r="DG7">
        <v>2</v>
      </c>
      <c r="DJ7">
        <v>3</v>
      </c>
      <c r="DN7">
        <v>1</v>
      </c>
      <c r="DR7">
        <v>2</v>
      </c>
      <c r="DT7">
        <v>1</v>
      </c>
      <c r="DX7">
        <v>2</v>
      </c>
      <c r="DY7" s="1">
        <f t="shared" si="91"/>
        <v>16</v>
      </c>
      <c r="DZ7">
        <v>2</v>
      </c>
      <c r="EB7">
        <v>4</v>
      </c>
      <c r="EG7">
        <v>4</v>
      </c>
      <c r="EI7">
        <v>2</v>
      </c>
      <c r="EJ7">
        <v>2</v>
      </c>
      <c r="EM7">
        <v>4</v>
      </c>
      <c r="EN7">
        <v>1</v>
      </c>
      <c r="EP7">
        <v>1</v>
      </c>
      <c r="EQ7">
        <v>3</v>
      </c>
      <c r="FB7">
        <v>2</v>
      </c>
      <c r="FC7">
        <v>3</v>
      </c>
      <c r="FD7" s="1">
        <f t="shared" si="92"/>
        <v>28</v>
      </c>
      <c r="FE7">
        <v>1</v>
      </c>
      <c r="FI7">
        <v>1</v>
      </c>
      <c r="GJ7" s="1">
        <f t="shared" si="93"/>
        <v>2</v>
      </c>
      <c r="HO7" s="1">
        <f t="shared" si="94"/>
        <v>0</v>
      </c>
      <c r="IT7">
        <v>31</v>
      </c>
      <c r="IU7" s="1">
        <f t="shared" si="95"/>
        <v>31</v>
      </c>
      <c r="IV7">
        <f t="shared" si="96"/>
        <v>100</v>
      </c>
    </row>
    <row r="8" ht="32.399999999999999" customHeight="1">
      <c r="A8" s="33" t="s">
        <v>21</v>
      </c>
      <c r="B8" s="2" t="s">
        <v>22</v>
      </c>
      <c r="AH8" s="7">
        <f t="shared" si="88"/>
        <v>0</v>
      </c>
      <c r="BM8" s="1">
        <f t="shared" si="89"/>
        <v>0</v>
      </c>
      <c r="CS8" s="1">
        <f t="shared" si="90"/>
        <v>0</v>
      </c>
      <c r="DY8" s="1">
        <f t="shared" si="91"/>
        <v>0</v>
      </c>
      <c r="FD8" s="1">
        <f t="shared" si="92"/>
        <v>0</v>
      </c>
      <c r="GJ8" s="1">
        <f t="shared" si="93"/>
        <v>0</v>
      </c>
      <c r="HO8" s="1">
        <f t="shared" si="94"/>
        <v>0</v>
      </c>
      <c r="IT8">
        <v>5</v>
      </c>
      <c r="IU8" s="1">
        <f t="shared" si="95"/>
        <v>5</v>
      </c>
      <c r="IV8">
        <f t="shared" si="96"/>
        <v>5</v>
      </c>
    </row>
    <row r="9" ht="32.399999999999999" customHeight="1">
      <c r="A9" s="33" t="s">
        <v>23</v>
      </c>
      <c r="B9" s="2" t="s">
        <v>16</v>
      </c>
      <c r="C9" s="1">
        <v>67</v>
      </c>
      <c r="AH9" s="7">
        <f t="shared" si="88"/>
        <v>67</v>
      </c>
      <c r="AJ9" s="1">
        <v>8</v>
      </c>
      <c r="AK9">
        <v>20</v>
      </c>
      <c r="AL9">
        <v>7</v>
      </c>
      <c r="AM9">
        <v>11</v>
      </c>
      <c r="AP9">
        <v>11</v>
      </c>
      <c r="AQ9">
        <v>15</v>
      </c>
      <c r="AS9">
        <v>14</v>
      </c>
      <c r="AT9">
        <v>25</v>
      </c>
      <c r="AX9">
        <v>6</v>
      </c>
      <c r="AY9">
        <v>2</v>
      </c>
      <c r="BM9" s="1">
        <f t="shared" si="89"/>
        <v>119</v>
      </c>
      <c r="BO9">
        <v>17</v>
      </c>
      <c r="BT9">
        <v>11</v>
      </c>
      <c r="BV9">
        <v>4</v>
      </c>
      <c r="CN9">
        <v>16</v>
      </c>
      <c r="CO9">
        <v>22</v>
      </c>
      <c r="CQ9">
        <v>7</v>
      </c>
      <c r="CS9" s="1">
        <f t="shared" si="90"/>
        <v>77</v>
      </c>
      <c r="CX9">
        <v>3</v>
      </c>
      <c r="CY9">
        <v>5</v>
      </c>
      <c r="CZ9">
        <v>8</v>
      </c>
      <c r="DE9">
        <v>21</v>
      </c>
      <c r="DL9">
        <v>1</v>
      </c>
      <c r="DQ9">
        <v>11</v>
      </c>
      <c r="DT9">
        <v>6</v>
      </c>
      <c r="DY9" s="1">
        <f t="shared" si="91"/>
        <v>55</v>
      </c>
      <c r="EA9">
        <v>8</v>
      </c>
      <c r="EH9">
        <v>31</v>
      </c>
      <c r="EJ9">
        <v>9</v>
      </c>
      <c r="EM9">
        <v>4</v>
      </c>
      <c r="EN9">
        <v>4</v>
      </c>
      <c r="EP9">
        <v>14</v>
      </c>
      <c r="EQ9">
        <v>5</v>
      </c>
      <c r="FB9">
        <v>3</v>
      </c>
      <c r="FD9" s="1">
        <f t="shared" si="92"/>
        <v>78</v>
      </c>
      <c r="FE9">
        <v>12</v>
      </c>
      <c r="FI9">
        <v>13</v>
      </c>
      <c r="GJ9" s="1">
        <f t="shared" si="93"/>
        <v>25</v>
      </c>
      <c r="HO9" s="1">
        <f t="shared" si="94"/>
        <v>0</v>
      </c>
      <c r="IT9">
        <v>433</v>
      </c>
      <c r="IU9" s="1">
        <f t="shared" si="95"/>
        <v>433</v>
      </c>
      <c r="IV9">
        <f t="shared" si="96"/>
        <v>854</v>
      </c>
    </row>
    <row r="10" ht="32.399999999999999" customHeight="1">
      <c r="A10" s="33" t="s">
        <v>24</v>
      </c>
      <c r="B10" s="2" t="s">
        <v>16</v>
      </c>
      <c r="C10" s="1">
        <v>146</v>
      </c>
      <c r="AH10" s="7">
        <f t="shared" ref="AH10:AH23" si="97">SUM(C10:AG10)</f>
        <v>146</v>
      </c>
      <c r="AJ10" s="1">
        <v>4</v>
      </c>
      <c r="AK10">
        <v>6</v>
      </c>
      <c r="AL10">
        <v>5</v>
      </c>
      <c r="AM10">
        <v>5</v>
      </c>
      <c r="AP10">
        <v>5</v>
      </c>
      <c r="AQ10">
        <v>7</v>
      </c>
      <c r="AS10">
        <v>6</v>
      </c>
      <c r="AT10">
        <v>14</v>
      </c>
      <c r="BM10" s="1">
        <f t="shared" ref="BM10:BM23" si="98">SUM(AI10:BL10)</f>
        <v>52</v>
      </c>
      <c r="BO10">
        <v>8</v>
      </c>
      <c r="BS10">
        <v>5</v>
      </c>
      <c r="BT10">
        <v>17</v>
      </c>
      <c r="BV10">
        <v>10</v>
      </c>
      <c r="CN10">
        <v>19</v>
      </c>
      <c r="CP10">
        <v>22</v>
      </c>
      <c r="CQ10">
        <v>15</v>
      </c>
      <c r="CS10" s="1">
        <f t="shared" ref="CS10:CS18" si="99">SUM(BN10:CR10)</f>
        <v>96</v>
      </c>
      <c r="CX10">
        <v>3</v>
      </c>
      <c r="CY10">
        <v>4</v>
      </c>
      <c r="CZ10">
        <v>9</v>
      </c>
      <c r="DE10">
        <v>1</v>
      </c>
      <c r="DL10">
        <v>2</v>
      </c>
      <c r="DN10">
        <v>15</v>
      </c>
      <c r="DQ10">
        <v>11</v>
      </c>
      <c r="DR10">
        <v>4</v>
      </c>
      <c r="DT10">
        <v>3</v>
      </c>
      <c r="DY10" s="1">
        <f t="shared" ref="DY10:DY18" si="100">SUM(CT10:DX10)</f>
        <v>52</v>
      </c>
      <c r="DZ10">
        <v>5</v>
      </c>
      <c r="EC10">
        <v>1</v>
      </c>
      <c r="EF10">
        <v>8</v>
      </c>
      <c r="EG10">
        <v>5</v>
      </c>
      <c r="EI10">
        <v>4</v>
      </c>
      <c r="EJ10">
        <v>35</v>
      </c>
      <c r="EM10">
        <v>1</v>
      </c>
      <c r="EN10">
        <v>7</v>
      </c>
      <c r="EP10">
        <v>14</v>
      </c>
      <c r="EQ10">
        <v>13</v>
      </c>
      <c r="FB10">
        <v>3</v>
      </c>
      <c r="FD10" s="1">
        <f t="shared" ref="FD10:FD18" si="101">SUM(DZ10:FC10)</f>
        <v>96</v>
      </c>
      <c r="FF10">
        <v>20</v>
      </c>
      <c r="FI10">
        <v>13</v>
      </c>
      <c r="GJ10" s="1">
        <f t="shared" ref="GJ10:GJ18" si="102">SUM(FE10:GI10)</f>
        <v>33</v>
      </c>
      <c r="HO10" s="1">
        <f t="shared" ref="HO10:HO18" si="103">SUM(GK10:HN10)</f>
        <v>0</v>
      </c>
      <c r="IT10">
        <v>409</v>
      </c>
      <c r="IU10" s="1">
        <f t="shared" ref="IU10:IU18" si="104">SUM(HP10:IT10)</f>
        <v>409</v>
      </c>
      <c r="IV10">
        <f t="shared" ref="IV10:IV18" si="105">SUM(AH10,BM10,CS10,DY10,FD10,GJ10,HO10,IU10)</f>
        <v>884</v>
      </c>
    </row>
    <row r="11" ht="32.399999999999999" customHeight="1">
      <c r="A11" s="33" t="s">
        <v>25</v>
      </c>
      <c r="B11" s="2" t="s">
        <v>16</v>
      </c>
      <c r="C11" s="1">
        <v>4</v>
      </c>
      <c r="AH11" s="7">
        <f t="shared" si="97"/>
        <v>4</v>
      </c>
      <c r="BM11" s="1">
        <f t="shared" si="98"/>
        <v>0</v>
      </c>
      <c r="BV11">
        <v>2</v>
      </c>
      <c r="CS11" s="1">
        <f t="shared" si="99"/>
        <v>2</v>
      </c>
      <c r="DJ11">
        <v>5</v>
      </c>
      <c r="DQ11">
        <v>1</v>
      </c>
      <c r="DY11" s="1">
        <f t="shared" si="100"/>
        <v>6</v>
      </c>
      <c r="FD11" s="1">
        <f t="shared" si="101"/>
        <v>0</v>
      </c>
      <c r="GJ11" s="1">
        <f t="shared" si="102"/>
        <v>0</v>
      </c>
      <c r="HO11" s="1">
        <f t="shared" si="103"/>
        <v>0</v>
      </c>
      <c r="IT11">
        <v>220</v>
      </c>
      <c r="IU11" s="1">
        <f t="shared" si="104"/>
        <v>220</v>
      </c>
      <c r="IV11">
        <f t="shared" si="105"/>
        <v>232</v>
      </c>
    </row>
    <row r="12" ht="32.399999999999999" customHeight="1">
      <c r="A12" s="33" t="s">
        <v>26</v>
      </c>
      <c r="B12" s="2" t="s">
        <v>16</v>
      </c>
      <c r="C12" s="1">
        <v>2</v>
      </c>
      <c r="AH12" s="7">
        <f t="shared" si="97"/>
        <v>2</v>
      </c>
      <c r="AM12">
        <v>1</v>
      </c>
      <c r="BM12" s="1">
        <f t="shared" si="98"/>
        <v>1</v>
      </c>
      <c r="CS12" s="1">
        <f t="shared" si="99"/>
        <v>0</v>
      </c>
      <c r="CX12">
        <v>5</v>
      </c>
      <c r="DD12">
        <v>1</v>
      </c>
      <c r="DE12">
        <v>2</v>
      </c>
      <c r="DY12" s="1">
        <f t="shared" si="100"/>
        <v>8</v>
      </c>
      <c r="EC12">
        <v>1</v>
      </c>
      <c r="EJ12">
        <v>1</v>
      </c>
      <c r="FD12" s="1">
        <f t="shared" si="101"/>
        <v>2</v>
      </c>
      <c r="GJ12" s="1">
        <f t="shared" si="102"/>
        <v>0</v>
      </c>
      <c r="HO12" s="1">
        <f t="shared" si="103"/>
        <v>0</v>
      </c>
      <c r="IT12">
        <v>6</v>
      </c>
      <c r="IU12" s="1">
        <f t="shared" si="104"/>
        <v>6</v>
      </c>
      <c r="IV12">
        <f t="shared" si="105"/>
        <v>19</v>
      </c>
    </row>
    <row r="13" ht="32.399999999999999" customHeight="1">
      <c r="A13" s="33" t="s">
        <v>27</v>
      </c>
      <c r="B13" s="2" t="s">
        <v>16</v>
      </c>
      <c r="AH13" s="7">
        <f t="shared" si="97"/>
        <v>0</v>
      </c>
      <c r="AQ13">
        <v>3</v>
      </c>
      <c r="BM13" s="1">
        <f t="shared" si="98"/>
        <v>3</v>
      </c>
      <c r="CS13" s="1">
        <f t="shared" si="99"/>
        <v>0</v>
      </c>
      <c r="DY13" s="1">
        <f t="shared" si="100"/>
        <v>0</v>
      </c>
      <c r="FD13" s="1">
        <f t="shared" si="101"/>
        <v>0</v>
      </c>
      <c r="GJ13" s="1">
        <f t="shared" si="102"/>
        <v>0</v>
      </c>
      <c r="HO13" s="1">
        <f t="shared" si="103"/>
        <v>0</v>
      </c>
      <c r="IT13">
        <v>156</v>
      </c>
      <c r="IU13" s="1">
        <f t="shared" si="104"/>
        <v>156</v>
      </c>
      <c r="IV13">
        <f t="shared" si="105"/>
        <v>159</v>
      </c>
    </row>
    <row r="14" ht="32.399999999999999" customHeight="1">
      <c r="A14" s="33" t="s">
        <v>28</v>
      </c>
      <c r="B14" s="2" t="s">
        <v>16</v>
      </c>
      <c r="AH14" s="7">
        <f t="shared" si="97"/>
        <v>0</v>
      </c>
      <c r="BM14" s="1">
        <f t="shared" si="98"/>
        <v>0</v>
      </c>
      <c r="CS14" s="1">
        <f t="shared" si="99"/>
        <v>0</v>
      </c>
      <c r="DY14" s="1">
        <f t="shared" si="100"/>
        <v>0</v>
      </c>
      <c r="FD14" s="1">
        <f t="shared" si="101"/>
        <v>0</v>
      </c>
      <c r="GJ14" s="1">
        <f t="shared" si="102"/>
        <v>0</v>
      </c>
      <c r="HO14" s="1">
        <f t="shared" si="103"/>
        <v>0</v>
      </c>
      <c r="IT14">
        <v>108</v>
      </c>
      <c r="IU14" s="1">
        <f t="shared" si="104"/>
        <v>108</v>
      </c>
      <c r="IV14">
        <f t="shared" si="105"/>
        <v>108</v>
      </c>
    </row>
    <row r="15" ht="32.399999999999999" customHeight="1">
      <c r="A15" s="33" t="s">
        <v>29</v>
      </c>
      <c r="B15" s="2" t="s">
        <v>16</v>
      </c>
      <c r="AH15" s="7">
        <f t="shared" si="97"/>
        <v>0</v>
      </c>
      <c r="AJ15">
        <v>4</v>
      </c>
      <c r="AL15">
        <v>33</v>
      </c>
      <c r="AM15">
        <v>2</v>
      </c>
      <c r="AQ15">
        <v>24</v>
      </c>
      <c r="AR15">
        <v>12</v>
      </c>
      <c r="AT15">
        <v>4</v>
      </c>
      <c r="BM15" s="1">
        <f t="shared" si="98"/>
        <v>79</v>
      </c>
      <c r="CS15" s="1">
        <f t="shared" si="99"/>
        <v>0</v>
      </c>
      <c r="DN15">
        <v>4</v>
      </c>
      <c r="DY15" s="1">
        <f t="shared" si="100"/>
        <v>4</v>
      </c>
      <c r="EA15">
        <v>4</v>
      </c>
      <c r="EN15">
        <v>2</v>
      </c>
      <c r="EP15">
        <v>41</v>
      </c>
      <c r="FD15" s="1">
        <f t="shared" si="101"/>
        <v>47</v>
      </c>
      <c r="GJ15" s="1">
        <f t="shared" si="102"/>
        <v>0</v>
      </c>
      <c r="HO15" s="1">
        <f t="shared" si="103"/>
        <v>0</v>
      </c>
      <c r="IT15">
        <v>750</v>
      </c>
      <c r="IU15" s="1">
        <f t="shared" si="104"/>
        <v>750</v>
      </c>
      <c r="IV15">
        <f t="shared" si="105"/>
        <v>880</v>
      </c>
    </row>
    <row r="16" ht="32.399999999999999" customHeight="1">
      <c r="A16" s="33" t="s">
        <v>30</v>
      </c>
      <c r="B16" s="2" t="s">
        <v>22</v>
      </c>
      <c r="AH16" s="7">
        <f t="shared" si="97"/>
        <v>0</v>
      </c>
      <c r="BM16" s="1">
        <f t="shared" si="98"/>
        <v>0</v>
      </c>
      <c r="CS16" s="1">
        <f t="shared" si="99"/>
        <v>0</v>
      </c>
      <c r="DY16" s="1">
        <f t="shared" si="100"/>
        <v>0</v>
      </c>
      <c r="FD16" s="1">
        <f t="shared" si="101"/>
        <v>0</v>
      </c>
      <c r="GJ16" s="1">
        <f t="shared" si="102"/>
        <v>0</v>
      </c>
      <c r="HO16" s="1">
        <f t="shared" si="103"/>
        <v>0</v>
      </c>
      <c r="IU16" s="1">
        <f t="shared" si="104"/>
        <v>0</v>
      </c>
      <c r="IV16">
        <f t="shared" si="105"/>
        <v>0</v>
      </c>
    </row>
    <row r="17" ht="32.399999999999999" customHeight="1">
      <c r="A17" s="33" t="s">
        <v>31</v>
      </c>
      <c r="B17" s="2" t="s">
        <v>16</v>
      </c>
      <c r="C17" s="1">
        <v>13</v>
      </c>
      <c r="AH17" s="7">
        <f t="shared" si="97"/>
        <v>13</v>
      </c>
      <c r="AM17">
        <v>1</v>
      </c>
      <c r="BM17" s="1">
        <f t="shared" si="98"/>
        <v>1</v>
      </c>
      <c r="CR17">
        <v>1</v>
      </c>
      <c r="IV17">
        <f t="shared" si="105"/>
        <v>14</v>
      </c>
    </row>
    <row r="18" ht="32.399999999999999" customHeight="1">
      <c r="A18" s="33" t="s">
        <v>32</v>
      </c>
      <c r="B18" s="2" t="s">
        <v>16</v>
      </c>
      <c r="C18" s="1">
        <v>98</v>
      </c>
      <c r="AH18" s="7">
        <f t="shared" si="97"/>
        <v>98</v>
      </c>
      <c r="AJ18" s="1">
        <v>58</v>
      </c>
      <c r="AK18">
        <v>85</v>
      </c>
      <c r="AL18">
        <v>40</v>
      </c>
      <c r="AM18">
        <v>5</v>
      </c>
      <c r="AP18">
        <v>53</v>
      </c>
      <c r="AQ18">
        <v>32</v>
      </c>
      <c r="AS18">
        <v>10</v>
      </c>
      <c r="AT18">
        <v>18</v>
      </c>
      <c r="AW18">
        <v>15</v>
      </c>
      <c r="AX18">
        <v>25</v>
      </c>
      <c r="AZ18">
        <v>18</v>
      </c>
      <c r="BM18" s="1">
        <f t="shared" si="98"/>
        <v>359</v>
      </c>
      <c r="BS18">
        <v>2</v>
      </c>
      <c r="BT18">
        <v>15</v>
      </c>
      <c r="BU18">
        <v>28</v>
      </c>
      <c r="CR18">
        <v>60</v>
      </c>
      <c r="CS18" s="1">
        <f t="shared" si="99"/>
        <v>105</v>
      </c>
      <c r="CV18">
        <v>82</v>
      </c>
      <c r="CW18">
        <v>520</v>
      </c>
      <c r="CX18">
        <v>61</v>
      </c>
      <c r="CY18">
        <v>1</v>
      </c>
      <c r="CZ18">
        <v>321</v>
      </c>
      <c r="DF18">
        <v>9</v>
      </c>
      <c r="DG18">
        <v>2</v>
      </c>
      <c r="DL18">
        <v>206</v>
      </c>
      <c r="DM18">
        <v>594</v>
      </c>
      <c r="DY18" s="1">
        <f t="shared" si="100"/>
        <v>1796</v>
      </c>
      <c r="EA18">
        <v>9</v>
      </c>
      <c r="EI18">
        <v>11</v>
      </c>
      <c r="FD18" s="1">
        <f t="shared" si="101"/>
        <v>20</v>
      </c>
      <c r="GJ18" s="1">
        <f t="shared" si="102"/>
        <v>0</v>
      </c>
      <c r="HO18" s="1">
        <f t="shared" si="103"/>
        <v>0</v>
      </c>
      <c r="IU18" s="1">
        <f t="shared" si="104"/>
        <v>0</v>
      </c>
      <c r="IV18">
        <f t="shared" si="105"/>
        <v>2378</v>
      </c>
    </row>
    <row r="19" ht="32.399999999999999" customHeight="1">
      <c r="A19" s="5"/>
      <c r="B19" s="2"/>
      <c r="AH19" s="7">
        <f t="shared" si="97"/>
        <v>0</v>
      </c>
      <c r="AQ19" t="s">
        <v>124</v>
      </c>
      <c r="AS19" t="s">
        <v>124</v>
      </c>
      <c r="AT19" t="s">
        <v>124</v>
      </c>
      <c r="AU19" t="s">
        <v>124</v>
      </c>
      <c r="AV19" t="s">
        <v>124</v>
      </c>
      <c r="AW19" t="s">
        <v>124</v>
      </c>
      <c r="AX19" t="s">
        <v>124</v>
      </c>
      <c r="BM19" s="1">
        <f t="shared" si="98"/>
        <v>0</v>
      </c>
      <c r="CY19" t="s">
        <v>125</v>
      </c>
      <c r="EI19" t="s">
        <v>126</v>
      </c>
    </row>
    <row r="20" ht="32.399999999999999" customHeight="1">
      <c r="A20" s="5"/>
      <c r="B20" s="2"/>
      <c r="AH20" s="7">
        <f t="shared" si="97"/>
        <v>0</v>
      </c>
      <c r="BM20" s="1">
        <f t="shared" si="98"/>
        <v>0</v>
      </c>
    </row>
    <row r="21" ht="32.399999999999999" customHeight="1">
      <c r="A21" s="5"/>
      <c r="B21" s="2"/>
      <c r="AH21" s="7">
        <f t="shared" si="97"/>
        <v>0</v>
      </c>
      <c r="BM21" s="1">
        <f t="shared" si="98"/>
        <v>0</v>
      </c>
    </row>
    <row r="22" ht="32.399999999999999" customHeight="1">
      <c r="A22" s="5"/>
      <c r="B22" s="2"/>
      <c r="AH22" s="7">
        <f t="shared" si="97"/>
        <v>0</v>
      </c>
      <c r="BM22" s="1">
        <f t="shared" si="98"/>
        <v>0</v>
      </c>
    </row>
    <row r="23" ht="32.399999999999999" customHeight="1">
      <c r="A23" s="5"/>
      <c r="B23" s="2"/>
      <c r="AH23" s="7">
        <f t="shared" si="97"/>
        <v>0</v>
      </c>
      <c r="BM23" s="1">
        <f t="shared" si="98"/>
        <v>0</v>
      </c>
    </row>
    <row r="86" ht="23.850000000000001">
      <c r="B86" s="5" t="s">
        <v>34</v>
      </c>
    </row>
    <row r="87" ht="13.800000000000001">
      <c r="B87" s="5" t="s">
        <v>35</v>
      </c>
    </row>
    <row r="88" ht="13.800000000000001">
      <c r="B88" s="5" t="s">
        <v>36</v>
      </c>
    </row>
    <row r="89" ht="13.800000000000001">
      <c r="B89" s="5" t="s">
        <v>37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&amp;C&amp;12Страница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indexed="5"/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xSplit="1" topLeftCell="B1" activePane="topRight" state="frozen"/>
      <selection activeCell="AK4" activeCellId="0" sqref="AK4"/>
    </sheetView>
  </sheetViews>
  <sheetFormatPr defaultColWidth="12.67578125" defaultRowHeight="13.5"/>
  <cols>
    <col customWidth="1" min="1" max="1" style="1" width="42.329999999999998"/>
    <col customWidth="1" min="2" max="2" style="1" width="30.140625"/>
    <col customWidth="1" hidden="1" min="3" max="34" style="1" width="0"/>
    <col customWidth="1" hidden="1" min="35" max="41" width="7.57421875"/>
    <col customWidth="1" hidden="1" min="42" max="55" width="0"/>
    <col customWidth="1" hidden="1" min="56" max="56" width="13.140625"/>
    <col customWidth="1" hidden="1" min="57" max="57" width="14.00390625"/>
    <col customWidth="1" hidden="1" min="58" max="64" width="0"/>
    <col customWidth="1" hidden="1" min="65" max="65" style="1" width="5.28125"/>
    <col customWidth="1" hidden="1" min="66" max="96" width="0"/>
    <col customWidth="0" hidden="1" min="97" max="97" style="1" width="12.67"/>
    <col customWidth="1" hidden="1" min="98" max="128" width="0"/>
    <col customWidth="0" hidden="1" min="129" max="129" style="1" width="12.67"/>
    <col customWidth="1" hidden="1" min="130" max="133" width="0"/>
    <col customWidth="1" hidden="1" min="134" max="135" style="35" width="0"/>
    <col customWidth="1" hidden="1" min="136" max="140" width="0"/>
    <col customWidth="1" hidden="1" min="141" max="142" style="35" width="0"/>
    <col customWidth="1" hidden="1" min="143" max="147" width="0"/>
    <col customWidth="1" hidden="1" min="148" max="149" style="35" width="0"/>
    <col customWidth="1" hidden="1" min="150" max="150" style="0" width="0"/>
    <col customWidth="1" hidden="1" min="151" max="154" width="0"/>
    <col customWidth="1" hidden="1" min="155" max="156" style="35" width="0"/>
    <col customWidth="1" hidden="1" min="157" max="159" width="0"/>
    <col customWidth="0" hidden="1" min="160" max="160" style="1" width="12.67"/>
    <col customWidth="1" hidden="1" min="161" max="161" width="0"/>
    <col customWidth="1" hidden="1" min="162" max="164" style="35" width="0"/>
    <col bestFit="1" min="165" max="169" width="7.57421875"/>
    <col bestFit="1" min="170" max="171" style="35" width="7.57421875"/>
    <col bestFit="1" min="172" max="176" width="7.57421875"/>
    <col bestFit="1" min="177" max="178" style="35" width="7.57421875"/>
    <col bestFit="1" min="179" max="183" width="7.57421875"/>
    <col bestFit="1" min="184" max="185" style="35" width="7.57421875"/>
    <col bestFit="1" min="186" max="191" width="7.57421875"/>
    <col customWidth="0" hidden="1" min="192" max="192" style="1" width="12.67"/>
    <col bestFit="1" min="193" max="212" width="7.57421875"/>
    <col customWidth="0" hidden="1" min="223" max="223" style="1" width="12.67"/>
    <col customWidth="0" hidden="1" min="255" max="255" style="1" width="12.67"/>
  </cols>
  <sheetData>
    <row r="1" s="1" customFormat="1" ht="34.200000000000003" customHeight="1">
      <c r="A1" s="2" t="s">
        <v>0</v>
      </c>
      <c r="B1" s="2" t="s">
        <v>1</v>
      </c>
      <c r="C1" s="36">
        <v>46143</v>
      </c>
      <c r="D1" s="36">
        <v>46144</v>
      </c>
      <c r="E1" s="36">
        <v>46145</v>
      </c>
      <c r="F1" s="36">
        <v>46146</v>
      </c>
      <c r="G1" s="36">
        <v>46147</v>
      </c>
      <c r="H1" s="36">
        <v>46148</v>
      </c>
      <c r="I1" s="36">
        <v>46149</v>
      </c>
      <c r="J1" s="36">
        <v>46150</v>
      </c>
      <c r="K1" s="36">
        <v>46151</v>
      </c>
      <c r="L1" s="36">
        <v>46152</v>
      </c>
      <c r="M1" s="36">
        <v>46153</v>
      </c>
      <c r="N1" s="36">
        <v>46154</v>
      </c>
      <c r="O1" s="36">
        <v>46155</v>
      </c>
      <c r="P1" s="36">
        <v>46156</v>
      </c>
      <c r="Q1" s="36">
        <v>46157</v>
      </c>
      <c r="R1" s="36">
        <v>46158</v>
      </c>
      <c r="S1" s="36">
        <v>46159</v>
      </c>
      <c r="T1" s="36">
        <v>46160</v>
      </c>
      <c r="U1" s="36">
        <v>46161</v>
      </c>
      <c r="V1" s="36">
        <v>46162</v>
      </c>
      <c r="W1" s="36">
        <v>46163</v>
      </c>
      <c r="X1" s="36">
        <v>46164</v>
      </c>
      <c r="Y1" s="36">
        <v>46165</v>
      </c>
      <c r="Z1" s="36">
        <v>46166</v>
      </c>
      <c r="AA1" s="36">
        <v>46167</v>
      </c>
      <c r="AB1" s="36">
        <v>46168</v>
      </c>
      <c r="AC1" s="36">
        <v>46169</v>
      </c>
      <c r="AD1" s="36">
        <v>46170</v>
      </c>
      <c r="AE1" s="36">
        <v>46171</v>
      </c>
      <c r="AF1" s="36">
        <v>46172</v>
      </c>
      <c r="AG1" s="36">
        <v>46173</v>
      </c>
      <c r="AH1" s="36" t="s">
        <v>2</v>
      </c>
      <c r="AI1" s="36">
        <v>46174</v>
      </c>
      <c r="AJ1" s="36">
        <v>46175</v>
      </c>
      <c r="AK1" s="36">
        <v>46176</v>
      </c>
      <c r="AL1" s="36">
        <v>46177</v>
      </c>
      <c r="AM1" s="36">
        <v>46178</v>
      </c>
      <c r="AN1" s="36">
        <v>46179</v>
      </c>
      <c r="AO1" s="36">
        <v>46180</v>
      </c>
      <c r="AP1" s="36">
        <v>46181</v>
      </c>
      <c r="AQ1" s="36">
        <v>46182</v>
      </c>
      <c r="AR1" s="36">
        <v>46183</v>
      </c>
      <c r="AS1" s="36">
        <v>46184</v>
      </c>
      <c r="AT1" s="36">
        <v>46185</v>
      </c>
      <c r="AU1" s="36">
        <v>46186</v>
      </c>
      <c r="AV1" s="36">
        <v>46187</v>
      </c>
      <c r="AW1" s="36">
        <v>46188</v>
      </c>
      <c r="AX1" s="36">
        <v>46189</v>
      </c>
      <c r="AY1" s="36">
        <v>46190</v>
      </c>
      <c r="AZ1" s="36">
        <v>46191</v>
      </c>
      <c r="BA1" s="36">
        <v>46192</v>
      </c>
      <c r="BB1" s="36">
        <v>46193</v>
      </c>
      <c r="BC1" s="36">
        <v>46194</v>
      </c>
      <c r="BD1" s="36">
        <v>46195</v>
      </c>
      <c r="BE1" s="36">
        <v>46196</v>
      </c>
      <c r="BF1" s="36">
        <v>46197</v>
      </c>
      <c r="BG1" s="36">
        <v>46198</v>
      </c>
      <c r="BH1" s="36">
        <v>46199</v>
      </c>
      <c r="BI1" s="36">
        <v>46200</v>
      </c>
      <c r="BJ1" s="36">
        <v>46201</v>
      </c>
      <c r="BK1" s="36">
        <v>46202</v>
      </c>
      <c r="BL1" s="36">
        <v>46203</v>
      </c>
      <c r="BM1" s="36" t="s">
        <v>3</v>
      </c>
      <c r="BN1" s="36">
        <v>46204</v>
      </c>
      <c r="BO1" s="36">
        <v>46205</v>
      </c>
      <c r="BP1" s="36">
        <v>46206</v>
      </c>
      <c r="BQ1" s="36">
        <v>46207</v>
      </c>
      <c r="BR1" s="36">
        <v>46208</v>
      </c>
      <c r="BS1" s="36">
        <v>46209</v>
      </c>
      <c r="BT1" s="36">
        <v>46210</v>
      </c>
      <c r="BU1" s="36">
        <v>46211</v>
      </c>
      <c r="BV1" s="36">
        <v>46212</v>
      </c>
      <c r="BW1" s="36">
        <v>46213</v>
      </c>
      <c r="BX1" s="36">
        <v>46214</v>
      </c>
      <c r="BY1" s="36">
        <v>46215</v>
      </c>
      <c r="BZ1" s="36">
        <v>46216</v>
      </c>
      <c r="CA1" s="36">
        <v>46217</v>
      </c>
      <c r="CB1" s="36">
        <v>46218</v>
      </c>
      <c r="CC1" s="36">
        <v>46219</v>
      </c>
      <c r="CD1" s="36">
        <v>46220</v>
      </c>
      <c r="CE1" s="36">
        <v>46221</v>
      </c>
      <c r="CF1" s="36">
        <v>46222</v>
      </c>
      <c r="CG1" s="36">
        <v>46223</v>
      </c>
      <c r="CH1" s="36">
        <v>46224</v>
      </c>
      <c r="CI1" s="36">
        <v>46225</v>
      </c>
      <c r="CJ1" s="36">
        <v>46226</v>
      </c>
      <c r="CK1" s="36">
        <v>46227</v>
      </c>
      <c r="CL1" s="36">
        <v>46228</v>
      </c>
      <c r="CM1" s="36">
        <v>46229</v>
      </c>
      <c r="CN1" s="36">
        <v>46230</v>
      </c>
      <c r="CO1" s="36">
        <v>46231</v>
      </c>
      <c r="CP1" s="36">
        <v>46232</v>
      </c>
      <c r="CQ1" s="36">
        <v>46233</v>
      </c>
      <c r="CR1" s="36">
        <v>46234</v>
      </c>
      <c r="CS1" s="36" t="s">
        <v>4</v>
      </c>
      <c r="CT1" s="36">
        <v>46235</v>
      </c>
      <c r="CU1" s="36">
        <v>46236</v>
      </c>
      <c r="CV1" s="36">
        <v>46237</v>
      </c>
      <c r="CW1" s="36">
        <v>46238</v>
      </c>
      <c r="CX1" s="36">
        <v>46239</v>
      </c>
      <c r="CY1" s="36">
        <v>46240</v>
      </c>
      <c r="CZ1" s="36">
        <v>46241</v>
      </c>
      <c r="DA1" s="36">
        <v>46242</v>
      </c>
      <c r="DB1" s="36">
        <v>46243</v>
      </c>
      <c r="DC1" s="36">
        <v>46244</v>
      </c>
      <c r="DD1" s="36">
        <v>46245</v>
      </c>
      <c r="DE1" s="36">
        <v>46246</v>
      </c>
      <c r="DF1" s="36">
        <v>46247</v>
      </c>
      <c r="DG1" s="36">
        <v>46248</v>
      </c>
      <c r="DH1" s="36">
        <v>46249</v>
      </c>
      <c r="DI1" s="36">
        <v>46250</v>
      </c>
      <c r="DJ1" s="36">
        <v>46251</v>
      </c>
      <c r="DK1" s="36">
        <v>46252</v>
      </c>
      <c r="DL1" s="36">
        <v>46253</v>
      </c>
      <c r="DM1" s="36">
        <v>46254</v>
      </c>
      <c r="DN1" s="36">
        <v>46255</v>
      </c>
      <c r="DO1" s="36">
        <v>46256</v>
      </c>
      <c r="DP1" s="36">
        <v>46257</v>
      </c>
      <c r="DQ1" s="36">
        <v>46258</v>
      </c>
      <c r="DR1" s="36">
        <v>46259</v>
      </c>
      <c r="DS1" s="36">
        <v>46260</v>
      </c>
      <c r="DT1" s="36">
        <v>46261</v>
      </c>
      <c r="DU1" s="36">
        <v>46262</v>
      </c>
      <c r="DV1" s="36">
        <v>46263</v>
      </c>
      <c r="DW1" s="36">
        <v>46264</v>
      </c>
      <c r="DX1" s="36">
        <v>46265</v>
      </c>
      <c r="DY1" s="36" t="s">
        <v>5</v>
      </c>
      <c r="DZ1" s="36">
        <v>46266</v>
      </c>
      <c r="EA1" s="36">
        <v>46267</v>
      </c>
      <c r="EB1" s="36">
        <v>46268</v>
      </c>
      <c r="EC1" s="36">
        <v>46269</v>
      </c>
      <c r="ED1" s="37">
        <v>46270</v>
      </c>
      <c r="EE1" s="37">
        <v>46271</v>
      </c>
      <c r="EF1" s="36">
        <v>46272</v>
      </c>
      <c r="EG1" s="36">
        <v>46273</v>
      </c>
      <c r="EH1" s="36">
        <v>46274</v>
      </c>
      <c r="EI1" s="36">
        <v>46275</v>
      </c>
      <c r="EJ1" s="36">
        <v>46276</v>
      </c>
      <c r="EK1" s="37">
        <v>46277</v>
      </c>
      <c r="EL1" s="37">
        <v>46278</v>
      </c>
      <c r="EM1" s="36">
        <v>46279</v>
      </c>
      <c r="EN1" s="36">
        <v>46280</v>
      </c>
      <c r="EO1" s="36">
        <v>46281</v>
      </c>
      <c r="EP1" s="36">
        <v>46282</v>
      </c>
      <c r="EQ1" s="36">
        <v>46283</v>
      </c>
      <c r="ER1" s="37">
        <v>46284</v>
      </c>
      <c r="ES1" s="37">
        <v>46285</v>
      </c>
      <c r="ET1" s="36">
        <v>46286</v>
      </c>
      <c r="EU1" s="36">
        <v>46287</v>
      </c>
      <c r="EV1" s="36">
        <v>46288</v>
      </c>
      <c r="EW1" s="36">
        <v>46289</v>
      </c>
      <c r="EX1" s="36">
        <v>46290</v>
      </c>
      <c r="EY1" s="37">
        <v>46291</v>
      </c>
      <c r="EZ1" s="37">
        <v>46292</v>
      </c>
      <c r="FA1" s="36">
        <v>46293</v>
      </c>
      <c r="FB1" s="36">
        <v>46294</v>
      </c>
      <c r="FC1" s="36">
        <v>46295</v>
      </c>
      <c r="FD1" s="36" t="s">
        <v>6</v>
      </c>
      <c r="FE1" s="36">
        <v>46296</v>
      </c>
      <c r="FF1" s="37">
        <v>46297</v>
      </c>
      <c r="FG1" s="37">
        <v>46298</v>
      </c>
      <c r="FH1" s="37">
        <v>46299</v>
      </c>
      <c r="FI1" s="36">
        <v>46300</v>
      </c>
      <c r="FJ1" s="36">
        <v>46301</v>
      </c>
      <c r="FK1" s="36">
        <v>46302</v>
      </c>
      <c r="FL1" s="36">
        <v>46303</v>
      </c>
      <c r="FM1" s="36">
        <v>46304</v>
      </c>
      <c r="FN1" s="37">
        <v>46305</v>
      </c>
      <c r="FO1" s="37">
        <v>46306</v>
      </c>
      <c r="FP1" s="36">
        <v>46307</v>
      </c>
      <c r="FQ1" s="36">
        <v>46308</v>
      </c>
      <c r="FR1" s="36">
        <v>46309</v>
      </c>
      <c r="FS1" s="36">
        <v>46310</v>
      </c>
      <c r="FT1" s="36">
        <v>46311</v>
      </c>
      <c r="FU1" s="37">
        <v>46312</v>
      </c>
      <c r="FV1" s="37">
        <v>46313</v>
      </c>
      <c r="FW1" s="36">
        <v>46314</v>
      </c>
      <c r="FX1" s="36">
        <v>46315</v>
      </c>
      <c r="FY1" s="36">
        <v>46316</v>
      </c>
      <c r="FZ1" s="36">
        <v>46317</v>
      </c>
      <c r="GA1" s="36">
        <v>46318</v>
      </c>
      <c r="GB1" s="37">
        <v>46319</v>
      </c>
      <c r="GC1" s="37">
        <v>46320</v>
      </c>
      <c r="GD1" s="36">
        <v>46321</v>
      </c>
      <c r="GE1" s="36">
        <v>46322</v>
      </c>
      <c r="GF1" s="36">
        <v>46323</v>
      </c>
      <c r="GG1" s="36">
        <v>46324</v>
      </c>
      <c r="GH1" s="36">
        <v>46325</v>
      </c>
      <c r="GI1" s="36">
        <v>46326</v>
      </c>
      <c r="GJ1" s="36" t="s">
        <v>7</v>
      </c>
      <c r="GK1" s="36">
        <v>46327</v>
      </c>
      <c r="GL1" s="36">
        <v>46328</v>
      </c>
      <c r="GM1" s="36">
        <v>46329</v>
      </c>
      <c r="GN1" s="36">
        <v>46330</v>
      </c>
      <c r="GO1" s="36">
        <v>46331</v>
      </c>
      <c r="GP1" s="36">
        <v>46332</v>
      </c>
      <c r="GQ1" s="36">
        <v>46333</v>
      </c>
      <c r="GR1" s="36">
        <v>46334</v>
      </c>
      <c r="GS1" s="36">
        <v>46335</v>
      </c>
      <c r="GT1" s="36">
        <v>46336</v>
      </c>
      <c r="GU1" s="36">
        <v>46337</v>
      </c>
      <c r="GV1" s="36">
        <v>46338</v>
      </c>
      <c r="GW1" s="36">
        <v>46339</v>
      </c>
      <c r="GX1" s="36">
        <v>46340</v>
      </c>
      <c r="GY1" s="36">
        <v>46341</v>
      </c>
      <c r="GZ1" s="36">
        <v>46342</v>
      </c>
      <c r="HA1" s="36">
        <v>46343</v>
      </c>
      <c r="HB1" s="36">
        <v>46344</v>
      </c>
      <c r="HC1" s="36">
        <v>46345</v>
      </c>
      <c r="HD1" s="36">
        <v>46346</v>
      </c>
      <c r="HE1" s="36">
        <v>46347</v>
      </c>
      <c r="HF1" s="36">
        <v>46348</v>
      </c>
      <c r="HG1" s="36">
        <v>46349</v>
      </c>
      <c r="HH1" s="36">
        <v>46350</v>
      </c>
      <c r="HI1" s="36">
        <v>46351</v>
      </c>
      <c r="HJ1" s="36">
        <v>46352</v>
      </c>
      <c r="HK1" s="36">
        <v>46353</v>
      </c>
      <c r="HL1" s="36">
        <v>46354</v>
      </c>
      <c r="HM1" s="36">
        <v>46355</v>
      </c>
      <c r="HN1" s="36">
        <v>46356</v>
      </c>
      <c r="HO1" s="36" t="s">
        <v>8</v>
      </c>
      <c r="HP1" s="36">
        <v>46357</v>
      </c>
      <c r="HQ1" s="36">
        <v>46358</v>
      </c>
      <c r="HR1" s="36">
        <v>46359</v>
      </c>
      <c r="HS1" s="36">
        <v>46360</v>
      </c>
      <c r="HT1" s="36">
        <v>46361</v>
      </c>
      <c r="HU1" s="36">
        <v>46362</v>
      </c>
      <c r="HV1" s="36">
        <v>46363</v>
      </c>
      <c r="HW1" s="36">
        <v>46364</v>
      </c>
      <c r="HX1" s="36">
        <v>46365</v>
      </c>
      <c r="HY1" s="36">
        <v>46366</v>
      </c>
      <c r="HZ1" s="36">
        <v>46367</v>
      </c>
      <c r="IA1" s="36">
        <v>46368</v>
      </c>
      <c r="IB1" s="36">
        <v>46369</v>
      </c>
      <c r="IC1" s="36">
        <v>46370</v>
      </c>
      <c r="ID1" s="36">
        <v>46371</v>
      </c>
      <c r="IE1" s="36">
        <v>46372</v>
      </c>
      <c r="IF1" s="36">
        <v>46373</v>
      </c>
      <c r="IG1" s="36">
        <v>46374</v>
      </c>
      <c r="IH1" s="36">
        <v>46375</v>
      </c>
      <c r="II1" s="36">
        <v>46376</v>
      </c>
      <c r="IJ1" s="36">
        <v>46377</v>
      </c>
      <c r="IK1" s="36">
        <v>46378</v>
      </c>
      <c r="IL1" s="36">
        <v>46379</v>
      </c>
      <c r="IM1" s="36">
        <v>46380</v>
      </c>
      <c r="IN1" s="36">
        <v>46381</v>
      </c>
      <c r="IO1" s="36">
        <v>46382</v>
      </c>
      <c r="IP1" s="36">
        <v>46383</v>
      </c>
      <c r="IQ1" s="36">
        <v>46384</v>
      </c>
      <c r="IR1" s="36">
        <v>46385</v>
      </c>
      <c r="IS1" s="36">
        <v>46386</v>
      </c>
      <c r="IT1" s="36">
        <v>46387</v>
      </c>
      <c r="IU1" s="7" t="s">
        <v>9</v>
      </c>
      <c r="IV1" s="1" t="s">
        <v>10</v>
      </c>
    </row>
    <row r="2" ht="70.5" customHeight="1">
      <c r="A2" s="38" t="s">
        <v>39</v>
      </c>
      <c r="B2" s="2" t="s">
        <v>12</v>
      </c>
      <c r="C2" s="6">
        <v>5014.29</v>
      </c>
      <c r="AH2" s="7">
        <f t="shared" ref="AH2:AH9" si="106">SUM(C2:AG2)</f>
        <v>5014.29</v>
      </c>
      <c r="AK2" s="1">
        <v>1</v>
      </c>
      <c r="AM2">
        <v>221.90000000000001</v>
      </c>
      <c r="AR2">
        <v>138.93000000000001</v>
      </c>
      <c r="AS2">
        <v>78.019999999999996</v>
      </c>
      <c r="AT2">
        <v>572.22000000000003</v>
      </c>
      <c r="AX2">
        <v>14.279999999999999</v>
      </c>
      <c r="BD2">
        <v>226.21000000000001</v>
      </c>
      <c r="BG2">
        <v>1539.4300000000001</v>
      </c>
      <c r="BH2">
        <v>212.08000000000001</v>
      </c>
      <c r="BL2">
        <v>87.870000000000005</v>
      </c>
      <c r="BM2" s="1">
        <f t="shared" ref="BM2:BM9" si="107">SUM(AI2:BL2)</f>
        <v>3091.9400000000001</v>
      </c>
      <c r="BN2">
        <v>1656.1099999999999</v>
      </c>
      <c r="BO2">
        <v>112.38</v>
      </c>
      <c r="BT2">
        <v>2</v>
      </c>
      <c r="BU2">
        <v>469.37</v>
      </c>
      <c r="CS2" s="1">
        <f t="shared" ref="CS2:CS9" si="108">SUM(BN2:CR2)</f>
        <v>2239.8599999999997</v>
      </c>
      <c r="CV2">
        <v>12.949999999999999</v>
      </c>
      <c r="CZ2">
        <v>93.859999999999999</v>
      </c>
      <c r="DD2">
        <v>19.370000000000001</v>
      </c>
      <c r="DG2">
        <v>831.95000000000005</v>
      </c>
      <c r="DK2">
        <v>161</v>
      </c>
      <c r="DL2">
        <v>30.93</v>
      </c>
      <c r="DR2">
        <v>252.16999999999999</v>
      </c>
      <c r="DX2">
        <v>19.809999999999999</v>
      </c>
      <c r="DY2" s="1">
        <f t="shared" ref="DY2:DY9" si="109">SUM(CT2:DX2)</f>
        <v>1422.0400000000002</v>
      </c>
      <c r="EB2">
        <v>38.289999999999999</v>
      </c>
      <c r="EG2">
        <v>58.829999999999998</v>
      </c>
      <c r="EM2">
        <v>99.879999999999995</v>
      </c>
      <c r="EO2">
        <v>620.67999999999995</v>
      </c>
      <c r="EP2">
        <v>365.37</v>
      </c>
      <c r="ET2">
        <v>64.030000000000001</v>
      </c>
      <c r="EU2">
        <v>124.14</v>
      </c>
      <c r="EW2">
        <v>708.47000000000003</v>
      </c>
      <c r="EX2">
        <v>10.890000000000001</v>
      </c>
      <c r="FB2">
        <v>83.689999999999998</v>
      </c>
      <c r="FD2" s="1">
        <f t="shared" ref="FD2:FD9" si="110">SUM(DZ2:FC2)</f>
        <v>2174.27</v>
      </c>
      <c r="FE2">
        <v>18.690000000000001</v>
      </c>
      <c r="GJ2" s="1">
        <f t="shared" ref="GJ2:GJ9" si="111">SUM(FE2:GI2)</f>
        <v>18.690000000000001</v>
      </c>
      <c r="HO2" s="1">
        <f t="shared" ref="HO2:HO9" si="112">SUM(GK2:HN2)</f>
        <v>0</v>
      </c>
      <c r="IT2">
        <v>1500</v>
      </c>
      <c r="IU2" s="1">
        <f t="shared" ref="IU2:IU9" si="113">SUM(HP2:IT2)</f>
        <v>1500</v>
      </c>
      <c r="IV2">
        <f t="shared" ref="IV2:IV9" si="114">SUM(AH2,BM2,CS2,DY2,FD2,GJ2,HO2,IU2)</f>
        <v>15461.090000000002</v>
      </c>
    </row>
    <row r="3" ht="28.5">
      <c r="A3" s="39" t="s">
        <v>15</v>
      </c>
      <c r="B3" s="2" t="s">
        <v>16</v>
      </c>
      <c r="C3" s="1">
        <v>51</v>
      </c>
      <c r="AH3" s="7">
        <f t="shared" si="106"/>
        <v>51</v>
      </c>
      <c r="AI3" s="1">
        <v>4</v>
      </c>
      <c r="AK3" s="1">
        <v>3</v>
      </c>
      <c r="AP3">
        <v>2</v>
      </c>
      <c r="AW3">
        <v>2</v>
      </c>
      <c r="BD3">
        <v>2</v>
      </c>
      <c r="BG3">
        <v>2</v>
      </c>
      <c r="BK3">
        <v>8</v>
      </c>
      <c r="BL3">
        <v>1</v>
      </c>
      <c r="BM3" s="1">
        <f t="shared" si="107"/>
        <v>24</v>
      </c>
      <c r="BN3">
        <v>3</v>
      </c>
      <c r="BO3">
        <v>1</v>
      </c>
      <c r="BS3">
        <v>1</v>
      </c>
      <c r="BT3">
        <v>2</v>
      </c>
      <c r="BU3">
        <v>2</v>
      </c>
      <c r="BV3">
        <v>8</v>
      </c>
      <c r="BW3">
        <v>4</v>
      </c>
      <c r="CS3" s="1">
        <f t="shared" si="108"/>
        <v>21</v>
      </c>
      <c r="CX3">
        <v>3</v>
      </c>
      <c r="CY3">
        <v>25</v>
      </c>
      <c r="CZ3">
        <v>2</v>
      </c>
      <c r="DC3">
        <v>2</v>
      </c>
      <c r="DD3">
        <v>1</v>
      </c>
      <c r="DE3">
        <v>2</v>
      </c>
      <c r="DF3">
        <v>1</v>
      </c>
      <c r="DG3">
        <v>1</v>
      </c>
      <c r="DJ3">
        <v>1</v>
      </c>
      <c r="DK3">
        <v>1</v>
      </c>
      <c r="DL3">
        <v>1</v>
      </c>
      <c r="DT3">
        <v>2</v>
      </c>
      <c r="DY3" s="1">
        <f t="shared" si="109"/>
        <v>42</v>
      </c>
      <c r="DZ3">
        <v>1</v>
      </c>
      <c r="EA3">
        <v>1</v>
      </c>
      <c r="EB3">
        <v>8</v>
      </c>
      <c r="EH3">
        <v>2</v>
      </c>
      <c r="EI3">
        <v>3</v>
      </c>
      <c r="EX3">
        <v>1</v>
      </c>
      <c r="FC3">
        <v>3</v>
      </c>
      <c r="FD3" s="1">
        <f t="shared" si="110"/>
        <v>19</v>
      </c>
      <c r="GJ3" s="1">
        <f t="shared" si="111"/>
        <v>0</v>
      </c>
      <c r="HO3" s="1">
        <f t="shared" si="112"/>
        <v>0</v>
      </c>
      <c r="IT3">
        <v>51</v>
      </c>
      <c r="IU3" s="1">
        <f t="shared" si="113"/>
        <v>51</v>
      </c>
      <c r="IV3">
        <f t="shared" si="114"/>
        <v>208</v>
      </c>
    </row>
    <row r="4" ht="28.5">
      <c r="A4" s="40" t="s">
        <v>17</v>
      </c>
      <c r="B4" s="2" t="s">
        <v>16</v>
      </c>
      <c r="C4" s="1">
        <v>41</v>
      </c>
      <c r="AH4" s="7">
        <f t="shared" si="106"/>
        <v>41</v>
      </c>
      <c r="AI4" s="1">
        <v>4</v>
      </c>
      <c r="AK4" s="1" t="s">
        <v>127</v>
      </c>
      <c r="AM4">
        <v>7</v>
      </c>
      <c r="AP4">
        <v>21</v>
      </c>
      <c r="AY4">
        <v>8</v>
      </c>
      <c r="AZ4">
        <v>2</v>
      </c>
      <c r="BE4">
        <v>8</v>
      </c>
      <c r="BF4">
        <v>1</v>
      </c>
      <c r="BG4">
        <v>13</v>
      </c>
      <c r="BH4">
        <v>1</v>
      </c>
      <c r="BK4">
        <v>15</v>
      </c>
      <c r="BM4" s="1">
        <f t="shared" si="107"/>
        <v>80</v>
      </c>
      <c r="BN4">
        <v>9</v>
      </c>
      <c r="BO4">
        <v>1</v>
      </c>
      <c r="BT4">
        <v>7</v>
      </c>
      <c r="BU4">
        <v>1</v>
      </c>
      <c r="BV4">
        <v>5</v>
      </c>
      <c r="BW4">
        <v>2</v>
      </c>
      <c r="CS4" s="1">
        <f t="shared" si="108"/>
        <v>25</v>
      </c>
      <c r="CV4">
        <v>2</v>
      </c>
      <c r="CW4">
        <v>10</v>
      </c>
      <c r="CX4">
        <v>5</v>
      </c>
      <c r="CY4">
        <v>10</v>
      </c>
      <c r="CZ4">
        <v>3</v>
      </c>
      <c r="DC4">
        <v>2</v>
      </c>
      <c r="DD4">
        <v>1</v>
      </c>
      <c r="DE4">
        <v>2</v>
      </c>
      <c r="DF4">
        <v>2</v>
      </c>
      <c r="DG4">
        <v>3</v>
      </c>
      <c r="DJ4">
        <v>1</v>
      </c>
      <c r="DK4">
        <v>6</v>
      </c>
      <c r="DL4">
        <v>8</v>
      </c>
      <c r="DT4">
        <v>1</v>
      </c>
      <c r="DU4">
        <v>4</v>
      </c>
      <c r="DY4" s="1">
        <f t="shared" si="109"/>
        <v>60</v>
      </c>
      <c r="DZ4">
        <v>2</v>
      </c>
      <c r="EA4">
        <v>8</v>
      </c>
      <c r="EB4">
        <v>8</v>
      </c>
      <c r="EH4">
        <v>3</v>
      </c>
      <c r="EI4">
        <v>4</v>
      </c>
      <c r="EJ4">
        <v>3</v>
      </c>
      <c r="EN4">
        <v>3</v>
      </c>
      <c r="EW4">
        <v>9</v>
      </c>
      <c r="EX4">
        <v>5</v>
      </c>
      <c r="FA4">
        <v>9</v>
      </c>
      <c r="FC4">
        <v>9</v>
      </c>
      <c r="FD4" s="1">
        <f t="shared" si="110"/>
        <v>63</v>
      </c>
      <c r="FE4">
        <v>1</v>
      </c>
      <c r="GJ4" s="1">
        <f t="shared" si="111"/>
        <v>1</v>
      </c>
      <c r="HO4" s="1">
        <f t="shared" si="112"/>
        <v>0</v>
      </c>
      <c r="IT4">
        <v>128</v>
      </c>
      <c r="IU4" s="1">
        <f t="shared" si="113"/>
        <v>128</v>
      </c>
      <c r="IV4">
        <f t="shared" si="114"/>
        <v>398</v>
      </c>
    </row>
    <row r="5" ht="14.25">
      <c r="A5" s="40" t="s">
        <v>18</v>
      </c>
      <c r="B5" s="2" t="s">
        <v>16</v>
      </c>
      <c r="C5" s="1">
        <v>35</v>
      </c>
      <c r="AH5" s="7">
        <f t="shared" si="106"/>
        <v>35</v>
      </c>
      <c r="AK5" s="1">
        <v>13</v>
      </c>
      <c r="AM5">
        <v>5</v>
      </c>
      <c r="AP5">
        <v>21</v>
      </c>
      <c r="AY5">
        <v>4</v>
      </c>
      <c r="AZ5">
        <v>2</v>
      </c>
      <c r="BE5">
        <v>5</v>
      </c>
      <c r="BF5">
        <v>1</v>
      </c>
      <c r="BG5">
        <v>7</v>
      </c>
      <c r="BH5">
        <v>1</v>
      </c>
      <c r="BK5">
        <v>15</v>
      </c>
      <c r="BM5" s="1">
        <f t="shared" si="107"/>
        <v>74</v>
      </c>
      <c r="BN5">
        <v>8</v>
      </c>
      <c r="BO5">
        <v>1</v>
      </c>
      <c r="BT5">
        <v>7</v>
      </c>
      <c r="BU5">
        <v>1</v>
      </c>
      <c r="BV5">
        <v>5</v>
      </c>
      <c r="BW5">
        <v>2</v>
      </c>
      <c r="CS5" s="1">
        <f t="shared" si="108"/>
        <v>24</v>
      </c>
      <c r="CV5">
        <v>2</v>
      </c>
      <c r="CW5">
        <v>10</v>
      </c>
      <c r="CX5">
        <v>5</v>
      </c>
      <c r="CY5">
        <v>10</v>
      </c>
      <c r="CZ5">
        <v>3</v>
      </c>
      <c r="DC5">
        <v>2</v>
      </c>
      <c r="DE5">
        <v>2</v>
      </c>
      <c r="DF5">
        <v>2</v>
      </c>
      <c r="DG5">
        <v>3</v>
      </c>
      <c r="DJ5">
        <v>1</v>
      </c>
      <c r="DK5">
        <v>4</v>
      </c>
      <c r="DL5">
        <v>8</v>
      </c>
      <c r="DT5">
        <v>1</v>
      </c>
      <c r="DU5">
        <v>4</v>
      </c>
      <c r="DY5" s="1">
        <f t="shared" si="109"/>
        <v>57</v>
      </c>
      <c r="DZ5">
        <v>1</v>
      </c>
      <c r="EA5">
        <v>8</v>
      </c>
      <c r="EB5">
        <v>3</v>
      </c>
      <c r="EH5">
        <v>3</v>
      </c>
      <c r="EI5">
        <v>14</v>
      </c>
      <c r="EJ5">
        <v>3</v>
      </c>
      <c r="EN5">
        <v>2</v>
      </c>
      <c r="EW5">
        <v>9</v>
      </c>
      <c r="EX5">
        <v>5</v>
      </c>
      <c r="FA5">
        <v>9</v>
      </c>
      <c r="FC5">
        <v>9</v>
      </c>
      <c r="FD5" s="1">
        <f t="shared" si="110"/>
        <v>66</v>
      </c>
      <c r="FE5">
        <v>1</v>
      </c>
      <c r="GJ5" s="1">
        <f t="shared" si="111"/>
        <v>1</v>
      </c>
      <c r="HO5" s="1">
        <f t="shared" si="112"/>
        <v>0</v>
      </c>
      <c r="IT5">
        <v>129</v>
      </c>
      <c r="IU5" s="1">
        <f t="shared" si="113"/>
        <v>129</v>
      </c>
      <c r="IV5">
        <f t="shared" si="114"/>
        <v>386</v>
      </c>
    </row>
    <row r="6" ht="15" customHeight="1">
      <c r="A6" s="41" t="s">
        <v>19</v>
      </c>
      <c r="B6" s="2" t="s">
        <v>16</v>
      </c>
      <c r="C6" s="1">
        <v>1</v>
      </c>
      <c r="AH6" s="7">
        <f t="shared" si="106"/>
        <v>1</v>
      </c>
      <c r="AP6">
        <v>1</v>
      </c>
      <c r="AY6">
        <v>2</v>
      </c>
      <c r="BG6">
        <v>1</v>
      </c>
      <c r="BM6" s="1">
        <f t="shared" si="107"/>
        <v>4</v>
      </c>
      <c r="BO6">
        <v>2</v>
      </c>
      <c r="BT6">
        <v>2</v>
      </c>
      <c r="BU6">
        <v>5</v>
      </c>
      <c r="BV6">
        <v>6</v>
      </c>
      <c r="BW6">
        <v>5</v>
      </c>
      <c r="CS6" s="1">
        <f t="shared" si="108"/>
        <v>20</v>
      </c>
      <c r="CV6">
        <v>1</v>
      </c>
      <c r="CW6">
        <v>3</v>
      </c>
      <c r="CY6">
        <v>1</v>
      </c>
      <c r="CZ6">
        <v>1</v>
      </c>
      <c r="DC6">
        <v>2</v>
      </c>
      <c r="DM6">
        <v>2</v>
      </c>
      <c r="DQ6">
        <v>1</v>
      </c>
      <c r="DR6">
        <v>1</v>
      </c>
      <c r="DU6">
        <v>1</v>
      </c>
      <c r="DY6" s="1">
        <f t="shared" si="109"/>
        <v>13</v>
      </c>
      <c r="EJ6">
        <v>1</v>
      </c>
      <c r="FB6">
        <v>4</v>
      </c>
      <c r="FD6" s="1">
        <f t="shared" si="110"/>
        <v>5</v>
      </c>
      <c r="GJ6" s="1">
        <f t="shared" si="111"/>
        <v>0</v>
      </c>
      <c r="HO6" s="1">
        <f t="shared" si="112"/>
        <v>0</v>
      </c>
      <c r="IT6">
        <v>30</v>
      </c>
      <c r="IU6" s="1">
        <f t="shared" si="113"/>
        <v>30</v>
      </c>
      <c r="IV6">
        <f t="shared" si="114"/>
        <v>73</v>
      </c>
    </row>
    <row r="7" ht="14.25">
      <c r="A7" s="41" t="s">
        <v>20</v>
      </c>
      <c r="B7" s="2" t="s">
        <v>16</v>
      </c>
      <c r="C7" s="1">
        <v>7</v>
      </c>
      <c r="AH7" s="7">
        <f t="shared" si="106"/>
        <v>7</v>
      </c>
      <c r="AI7" s="1">
        <v>2</v>
      </c>
      <c r="AK7" s="1">
        <v>5</v>
      </c>
      <c r="AP7">
        <v>1</v>
      </c>
      <c r="AS7">
        <v>1</v>
      </c>
      <c r="AW7">
        <v>2</v>
      </c>
      <c r="AX7">
        <v>2</v>
      </c>
      <c r="BE7">
        <v>1</v>
      </c>
      <c r="BG7">
        <v>3</v>
      </c>
      <c r="BH7">
        <v>1</v>
      </c>
      <c r="BM7" s="1">
        <f t="shared" si="107"/>
        <v>18</v>
      </c>
      <c r="BN7">
        <v>3</v>
      </c>
      <c r="BT7">
        <v>2</v>
      </c>
      <c r="BU7">
        <v>7</v>
      </c>
      <c r="BV7">
        <v>3</v>
      </c>
      <c r="BW7">
        <v>1</v>
      </c>
      <c r="CS7" s="1">
        <f t="shared" si="108"/>
        <v>16</v>
      </c>
      <c r="CV7">
        <v>1</v>
      </c>
      <c r="CW7">
        <v>3</v>
      </c>
      <c r="CY7">
        <v>2</v>
      </c>
      <c r="CZ7">
        <v>2</v>
      </c>
      <c r="DF7">
        <v>2</v>
      </c>
      <c r="DJ7">
        <v>1</v>
      </c>
      <c r="DQ7">
        <v>2</v>
      </c>
      <c r="DR7">
        <v>2</v>
      </c>
      <c r="DS7">
        <v>2</v>
      </c>
      <c r="DY7" s="1">
        <f t="shared" si="109"/>
        <v>17</v>
      </c>
      <c r="DZ7">
        <v>1</v>
      </c>
      <c r="EC7">
        <v>8</v>
      </c>
      <c r="EO7">
        <v>1</v>
      </c>
      <c r="EX7">
        <v>1</v>
      </c>
      <c r="FD7" s="1">
        <f t="shared" si="110"/>
        <v>11</v>
      </c>
      <c r="GJ7" s="1">
        <f t="shared" si="111"/>
        <v>0</v>
      </c>
      <c r="HO7" s="1">
        <f t="shared" si="112"/>
        <v>0</v>
      </c>
      <c r="IT7">
        <v>31</v>
      </c>
      <c r="IU7" s="1">
        <f t="shared" si="113"/>
        <v>31</v>
      </c>
      <c r="IV7">
        <f t="shared" si="114"/>
        <v>100</v>
      </c>
    </row>
    <row r="8" ht="14.25">
      <c r="A8" s="5" t="s">
        <v>21</v>
      </c>
      <c r="B8" s="2" t="s">
        <v>22</v>
      </c>
      <c r="AH8" s="7">
        <f t="shared" si="106"/>
        <v>0</v>
      </c>
      <c r="BM8" s="1">
        <f t="shared" si="107"/>
        <v>0</v>
      </c>
      <c r="CS8" s="1">
        <f t="shared" si="108"/>
        <v>0</v>
      </c>
      <c r="DT8">
        <v>3</v>
      </c>
      <c r="DY8" s="1">
        <f t="shared" si="109"/>
        <v>3</v>
      </c>
      <c r="FD8" s="1">
        <f t="shared" si="110"/>
        <v>0</v>
      </c>
      <c r="GJ8" s="1">
        <f t="shared" si="111"/>
        <v>0</v>
      </c>
      <c r="HO8" s="1">
        <f t="shared" si="112"/>
        <v>0</v>
      </c>
      <c r="IT8">
        <v>5</v>
      </c>
      <c r="IU8" s="1">
        <f t="shared" si="113"/>
        <v>5</v>
      </c>
      <c r="IV8">
        <f t="shared" si="114"/>
        <v>8</v>
      </c>
    </row>
    <row r="9" ht="14.25">
      <c r="A9" s="42" t="s">
        <v>23</v>
      </c>
      <c r="B9" s="2" t="s">
        <v>16</v>
      </c>
      <c r="C9" s="1">
        <v>111</v>
      </c>
      <c r="AH9" s="7">
        <f t="shared" si="106"/>
        <v>111</v>
      </c>
      <c r="AI9" s="1">
        <v>7</v>
      </c>
      <c r="AK9" s="1">
        <v>16</v>
      </c>
      <c r="AP9">
        <v>5</v>
      </c>
      <c r="AR9">
        <v>6</v>
      </c>
      <c r="AS9">
        <v>16</v>
      </c>
      <c r="AT9">
        <v>11</v>
      </c>
      <c r="AW9">
        <v>10</v>
      </c>
      <c r="AX9">
        <v>8</v>
      </c>
      <c r="AZ9">
        <v>31</v>
      </c>
      <c r="BA9">
        <v>2</v>
      </c>
      <c r="BD9">
        <v>4</v>
      </c>
      <c r="BF9">
        <v>17</v>
      </c>
      <c r="BG9">
        <v>5</v>
      </c>
      <c r="BH9">
        <v>11</v>
      </c>
      <c r="BL9">
        <v>13</v>
      </c>
      <c r="BM9" s="1">
        <f t="shared" si="107"/>
        <v>162</v>
      </c>
      <c r="BN9">
        <v>6</v>
      </c>
      <c r="BO9">
        <v>8</v>
      </c>
      <c r="BS9">
        <v>6</v>
      </c>
      <c r="BT9">
        <v>5</v>
      </c>
      <c r="BU9">
        <v>9</v>
      </c>
      <c r="BV9">
        <v>3</v>
      </c>
      <c r="BW9">
        <v>24</v>
      </c>
      <c r="CS9" s="1">
        <f t="shared" si="108"/>
        <v>61</v>
      </c>
      <c r="CV9">
        <v>14</v>
      </c>
      <c r="CW9">
        <v>12</v>
      </c>
      <c r="CY9">
        <v>13</v>
      </c>
      <c r="DG9">
        <v>22</v>
      </c>
      <c r="DK9">
        <v>13</v>
      </c>
      <c r="DL9">
        <v>4</v>
      </c>
      <c r="DQ9">
        <v>25</v>
      </c>
      <c r="DR9">
        <v>29</v>
      </c>
      <c r="DT9">
        <v>10</v>
      </c>
      <c r="DX9">
        <v>6</v>
      </c>
      <c r="DY9" s="1">
        <f t="shared" si="109"/>
        <v>148</v>
      </c>
      <c r="DZ9">
        <v>9</v>
      </c>
      <c r="EB9">
        <v>6</v>
      </c>
      <c r="ED9" s="35"/>
      <c r="EG9">
        <v>12</v>
      </c>
      <c r="EI9">
        <v>4</v>
      </c>
      <c r="EJ9">
        <v>4</v>
      </c>
      <c r="EM9">
        <v>6</v>
      </c>
      <c r="EO9">
        <v>8</v>
      </c>
      <c r="EP9">
        <v>12</v>
      </c>
      <c r="EQ9">
        <v>1</v>
      </c>
      <c r="ET9">
        <v>14</v>
      </c>
      <c r="EU9">
        <v>12</v>
      </c>
      <c r="EV9">
        <v>16</v>
      </c>
      <c r="EW9">
        <v>16</v>
      </c>
      <c r="FB9">
        <v>11</v>
      </c>
      <c r="FC9">
        <v>17</v>
      </c>
      <c r="FD9" s="1">
        <f t="shared" si="110"/>
        <v>148</v>
      </c>
      <c r="FE9">
        <v>18</v>
      </c>
      <c r="FI9">
        <v>9</v>
      </c>
      <c r="GJ9" s="1">
        <f t="shared" si="111"/>
        <v>27</v>
      </c>
      <c r="HO9" s="1">
        <f t="shared" si="112"/>
        <v>0</v>
      </c>
      <c r="IT9">
        <v>433</v>
      </c>
      <c r="IU9" s="1">
        <f t="shared" si="113"/>
        <v>433</v>
      </c>
      <c r="IV9">
        <f t="shared" si="114"/>
        <v>1090</v>
      </c>
    </row>
    <row r="10" ht="14.25">
      <c r="A10" s="42" t="s">
        <v>24</v>
      </c>
      <c r="B10" s="2" t="s">
        <v>16</v>
      </c>
      <c r="C10" s="1">
        <v>142</v>
      </c>
      <c r="AH10" s="7">
        <f t="shared" ref="AH10:AH23" si="115">SUM(C10:AG10)</f>
        <v>142</v>
      </c>
      <c r="AI10" s="1">
        <v>7</v>
      </c>
      <c r="AK10" s="1">
        <v>20</v>
      </c>
      <c r="AP10">
        <v>18</v>
      </c>
      <c r="AR10">
        <v>2</v>
      </c>
      <c r="AT10">
        <v>16</v>
      </c>
      <c r="AX10">
        <v>6</v>
      </c>
      <c r="AZ10">
        <v>19</v>
      </c>
      <c r="BA10">
        <v>2</v>
      </c>
      <c r="BD10">
        <v>7</v>
      </c>
      <c r="BG10">
        <v>13</v>
      </c>
      <c r="BH10">
        <v>27</v>
      </c>
      <c r="BM10" s="1">
        <f t="shared" ref="BM10:BM23" si="116">SUM(AI10:BL10)</f>
        <v>137</v>
      </c>
      <c r="BN10">
        <v>6</v>
      </c>
      <c r="BO10">
        <v>22</v>
      </c>
      <c r="BT10">
        <v>5</v>
      </c>
      <c r="BU10">
        <v>9</v>
      </c>
      <c r="BV10">
        <v>12</v>
      </c>
      <c r="BW10">
        <v>2</v>
      </c>
      <c r="CS10" s="1">
        <f t="shared" ref="CS10:CS18" si="117">SUM(BN10:CR10)</f>
        <v>56</v>
      </c>
      <c r="CV10">
        <v>4</v>
      </c>
      <c r="CW10">
        <v>12</v>
      </c>
      <c r="CX10">
        <v>6</v>
      </c>
      <c r="CZ10">
        <v>13</v>
      </c>
      <c r="DC10">
        <v>14</v>
      </c>
      <c r="DD10">
        <v>5</v>
      </c>
      <c r="DE10">
        <v>6</v>
      </c>
      <c r="DK10">
        <v>13</v>
      </c>
      <c r="DL10">
        <v>4</v>
      </c>
      <c r="DM10">
        <v>3</v>
      </c>
      <c r="DR10">
        <v>13</v>
      </c>
      <c r="DT10">
        <v>10</v>
      </c>
      <c r="DX10">
        <v>10</v>
      </c>
      <c r="DY10" s="1">
        <f t="shared" ref="DY10:DY18" si="118">SUM(CT10:DX10)</f>
        <v>113</v>
      </c>
      <c r="DZ10">
        <v>9</v>
      </c>
      <c r="EB10">
        <v>6</v>
      </c>
      <c r="EC10">
        <v>86</v>
      </c>
      <c r="ED10" s="35"/>
      <c r="EG10">
        <v>31</v>
      </c>
      <c r="EI10">
        <v>4</v>
      </c>
      <c r="EJ10">
        <v>4</v>
      </c>
      <c r="EN10">
        <v>12</v>
      </c>
      <c r="EQ10">
        <v>13</v>
      </c>
      <c r="ET10">
        <v>6</v>
      </c>
      <c r="EU10">
        <v>8</v>
      </c>
      <c r="EW10">
        <v>16</v>
      </c>
      <c r="EX10">
        <v>9</v>
      </c>
      <c r="FB10">
        <v>11</v>
      </c>
      <c r="FC10">
        <v>3</v>
      </c>
      <c r="FD10" s="1">
        <f t="shared" ref="FD10:FD18" si="119">SUM(DZ10:FC10)</f>
        <v>218</v>
      </c>
      <c r="GJ10" s="1">
        <f t="shared" ref="GJ10:GJ18" si="120">SUM(FE10:GI10)</f>
        <v>0</v>
      </c>
      <c r="HO10" s="1">
        <f t="shared" ref="HO10:HO18" si="121">SUM(GK10:HN10)</f>
        <v>0</v>
      </c>
      <c r="IT10">
        <v>409</v>
      </c>
      <c r="IU10" s="1">
        <f t="shared" ref="IU10:IU18" si="122">SUM(HP10:IT10)</f>
        <v>409</v>
      </c>
      <c r="IV10">
        <f t="shared" ref="IV10:IV18" si="123">SUM(AH10,BM10,CS10,DY10,FD10,GJ10,HO10,IU10)</f>
        <v>1075</v>
      </c>
    </row>
    <row r="11" ht="14.25">
      <c r="A11" s="5" t="s">
        <v>25</v>
      </c>
      <c r="B11" s="2" t="s">
        <v>16</v>
      </c>
      <c r="AH11" s="7">
        <f t="shared" si="115"/>
        <v>0</v>
      </c>
      <c r="BM11" s="1">
        <f t="shared" si="116"/>
        <v>0</v>
      </c>
      <c r="CS11" s="1">
        <f t="shared" si="117"/>
        <v>0</v>
      </c>
      <c r="DY11" s="1">
        <f t="shared" si="118"/>
        <v>0</v>
      </c>
      <c r="FD11" s="1">
        <f t="shared" si="119"/>
        <v>0</v>
      </c>
      <c r="GJ11" s="1">
        <f t="shared" si="120"/>
        <v>0</v>
      </c>
      <c r="HO11" s="1">
        <f t="shared" si="121"/>
        <v>0</v>
      </c>
      <c r="IT11">
        <v>220</v>
      </c>
      <c r="IU11" s="1">
        <f t="shared" si="122"/>
        <v>220</v>
      </c>
      <c r="IV11">
        <f t="shared" si="123"/>
        <v>220</v>
      </c>
    </row>
    <row r="12" ht="14.25">
      <c r="A12" s="5" t="s">
        <v>26</v>
      </c>
      <c r="B12" s="2" t="s">
        <v>16</v>
      </c>
      <c r="AH12" s="7">
        <f t="shared" si="115"/>
        <v>0</v>
      </c>
      <c r="BM12" s="1">
        <f t="shared" si="116"/>
        <v>0</v>
      </c>
      <c r="CS12" s="1">
        <f t="shared" si="117"/>
        <v>0</v>
      </c>
      <c r="DY12" s="1">
        <f t="shared" si="118"/>
        <v>0</v>
      </c>
      <c r="FD12" s="1">
        <f t="shared" si="119"/>
        <v>0</v>
      </c>
      <c r="GJ12" s="1">
        <f t="shared" si="120"/>
        <v>0</v>
      </c>
      <c r="HO12" s="1">
        <f t="shared" si="121"/>
        <v>0</v>
      </c>
      <c r="IT12">
        <v>6</v>
      </c>
      <c r="IU12" s="1">
        <f t="shared" si="122"/>
        <v>6</v>
      </c>
      <c r="IV12">
        <f t="shared" si="123"/>
        <v>6</v>
      </c>
    </row>
    <row r="13" ht="14.25">
      <c r="A13" s="5" t="s">
        <v>27</v>
      </c>
      <c r="B13" s="2" t="s">
        <v>16</v>
      </c>
      <c r="AH13" s="7">
        <f t="shared" si="115"/>
        <v>0</v>
      </c>
      <c r="BM13" s="1">
        <f t="shared" si="116"/>
        <v>0</v>
      </c>
      <c r="CS13" s="1">
        <f t="shared" si="117"/>
        <v>0</v>
      </c>
      <c r="DY13" s="1">
        <f t="shared" si="118"/>
        <v>0</v>
      </c>
      <c r="FD13" s="1">
        <f t="shared" si="119"/>
        <v>0</v>
      </c>
      <c r="GJ13" s="1">
        <f t="shared" si="120"/>
        <v>0</v>
      </c>
      <c r="HO13" s="1">
        <f t="shared" si="121"/>
        <v>0</v>
      </c>
      <c r="IT13">
        <v>156</v>
      </c>
      <c r="IU13" s="1">
        <f t="shared" si="122"/>
        <v>156</v>
      </c>
      <c r="IV13">
        <f t="shared" si="123"/>
        <v>156</v>
      </c>
    </row>
    <row r="14" ht="28.5">
      <c r="A14" s="43" t="s">
        <v>28</v>
      </c>
      <c r="B14" s="2" t="s">
        <v>16</v>
      </c>
      <c r="D14" s="1">
        <v>1</v>
      </c>
      <c r="AH14" s="7">
        <f t="shared" si="115"/>
        <v>1</v>
      </c>
      <c r="BM14" s="1">
        <f t="shared" si="116"/>
        <v>0</v>
      </c>
      <c r="CS14" s="1">
        <f t="shared" si="117"/>
        <v>0</v>
      </c>
      <c r="CV14">
        <v>1</v>
      </c>
      <c r="DM14">
        <v>12</v>
      </c>
      <c r="DU14">
        <v>49</v>
      </c>
      <c r="DX14">
        <v>1</v>
      </c>
      <c r="DY14" s="1">
        <f t="shared" si="118"/>
        <v>63</v>
      </c>
      <c r="FD14" s="1">
        <f t="shared" si="119"/>
        <v>0</v>
      </c>
      <c r="GJ14" s="1">
        <f t="shared" si="120"/>
        <v>0</v>
      </c>
      <c r="HO14" s="1">
        <f t="shared" si="121"/>
        <v>0</v>
      </c>
      <c r="IT14">
        <v>108</v>
      </c>
      <c r="IU14" s="1">
        <f t="shared" si="122"/>
        <v>108</v>
      </c>
      <c r="IV14">
        <f t="shared" si="123"/>
        <v>172</v>
      </c>
    </row>
    <row r="15" ht="28.5">
      <c r="A15" s="44" t="s">
        <v>29</v>
      </c>
      <c r="B15" s="2" t="s">
        <v>16</v>
      </c>
      <c r="C15" s="1">
        <v>80</v>
      </c>
      <c r="AH15" s="7">
        <f t="shared" si="115"/>
        <v>80</v>
      </c>
      <c r="AK15" s="1">
        <v>22</v>
      </c>
      <c r="BM15" s="1">
        <f t="shared" si="116"/>
        <v>22</v>
      </c>
      <c r="CS15" s="1">
        <f t="shared" si="117"/>
        <v>0</v>
      </c>
      <c r="CW15">
        <v>24</v>
      </c>
      <c r="CX15">
        <v>18</v>
      </c>
      <c r="CY15">
        <v>7</v>
      </c>
      <c r="DC15">
        <v>2</v>
      </c>
      <c r="DE15">
        <v>26</v>
      </c>
      <c r="DF15">
        <v>14</v>
      </c>
      <c r="DJ15">
        <v>29</v>
      </c>
      <c r="DM15">
        <v>53</v>
      </c>
      <c r="DN15">
        <v>36</v>
      </c>
      <c r="DT15">
        <v>38</v>
      </c>
      <c r="DX15">
        <v>29</v>
      </c>
      <c r="DY15" s="1">
        <f t="shared" si="118"/>
        <v>276</v>
      </c>
      <c r="EA15">
        <v>20</v>
      </c>
      <c r="EB15">
        <v>15</v>
      </c>
      <c r="EC15">
        <v>22</v>
      </c>
      <c r="EI15">
        <v>19</v>
      </c>
      <c r="EJ15">
        <v>5</v>
      </c>
      <c r="EN15">
        <v>111</v>
      </c>
      <c r="EO15">
        <v>77</v>
      </c>
      <c r="EP15">
        <v>89</v>
      </c>
      <c r="EQ15">
        <v>36</v>
      </c>
      <c r="FD15" s="1">
        <f t="shared" si="119"/>
        <v>394</v>
      </c>
      <c r="GJ15" s="1">
        <f t="shared" si="120"/>
        <v>0</v>
      </c>
      <c r="HO15" s="1">
        <f t="shared" si="121"/>
        <v>0</v>
      </c>
      <c r="IT15">
        <v>750</v>
      </c>
      <c r="IU15" s="1">
        <f t="shared" si="122"/>
        <v>750</v>
      </c>
      <c r="IV15">
        <f t="shared" si="123"/>
        <v>1522</v>
      </c>
    </row>
    <row r="16" ht="14.25">
      <c r="A16" s="5" t="s">
        <v>30</v>
      </c>
      <c r="B16" s="2" t="s">
        <v>22</v>
      </c>
      <c r="AH16" s="7">
        <f t="shared" si="115"/>
        <v>0</v>
      </c>
      <c r="BM16" s="1">
        <f t="shared" si="116"/>
        <v>0</v>
      </c>
      <c r="CS16" s="1">
        <f t="shared" si="117"/>
        <v>0</v>
      </c>
      <c r="DY16" s="1">
        <f t="shared" si="118"/>
        <v>0</v>
      </c>
      <c r="FD16" s="1">
        <f t="shared" si="119"/>
        <v>0</v>
      </c>
      <c r="GJ16" s="1">
        <f t="shared" si="120"/>
        <v>0</v>
      </c>
      <c r="HO16" s="1">
        <f t="shared" si="121"/>
        <v>0</v>
      </c>
      <c r="IU16" s="1">
        <f t="shared" si="122"/>
        <v>0</v>
      </c>
      <c r="IV16">
        <f t="shared" si="123"/>
        <v>0</v>
      </c>
    </row>
    <row r="17" ht="14.25">
      <c r="A17" s="44" t="s">
        <v>31</v>
      </c>
      <c r="B17" s="2" t="s">
        <v>16</v>
      </c>
      <c r="C17" s="1">
        <v>26</v>
      </c>
      <c r="AH17" s="7">
        <f t="shared" si="115"/>
        <v>26</v>
      </c>
      <c r="BM17" s="1">
        <f t="shared" si="116"/>
        <v>0</v>
      </c>
      <c r="BN17">
        <v>1</v>
      </c>
      <c r="CW17">
        <v>5</v>
      </c>
      <c r="CX17">
        <v>3</v>
      </c>
      <c r="DF17">
        <v>2</v>
      </c>
      <c r="DT17">
        <v>2</v>
      </c>
      <c r="IV17">
        <f t="shared" si="123"/>
        <v>26</v>
      </c>
    </row>
    <row r="18" ht="14.25">
      <c r="A18" s="5" t="s">
        <v>32</v>
      </c>
      <c r="B18" s="2" t="s">
        <v>16</v>
      </c>
      <c r="C18" s="1">
        <v>259</v>
      </c>
      <c r="AH18" s="7">
        <f t="shared" si="115"/>
        <v>259</v>
      </c>
      <c r="AI18" s="1">
        <v>1</v>
      </c>
      <c r="AJ18" s="1">
        <v>1</v>
      </c>
      <c r="AK18" s="1">
        <v>1</v>
      </c>
      <c r="AQ18">
        <v>71</v>
      </c>
      <c r="AR18">
        <v>77</v>
      </c>
      <c r="AS18">
        <v>27</v>
      </c>
      <c r="AY18">
        <v>16</v>
      </c>
      <c r="AZ18">
        <v>35</v>
      </c>
      <c r="BA18">
        <v>50</v>
      </c>
      <c r="BD18">
        <v>23</v>
      </c>
      <c r="BE18">
        <v>36</v>
      </c>
      <c r="BL18">
        <v>10</v>
      </c>
      <c r="BM18" s="1">
        <f t="shared" si="116"/>
        <v>348</v>
      </c>
      <c r="BS18">
        <v>41</v>
      </c>
      <c r="BT18">
        <v>15</v>
      </c>
      <c r="BU18">
        <v>40</v>
      </c>
      <c r="BV18">
        <v>21</v>
      </c>
      <c r="BW18">
        <v>10</v>
      </c>
      <c r="CS18" s="1">
        <f t="shared" si="117"/>
        <v>127</v>
      </c>
      <c r="CV18" t="s">
        <v>128</v>
      </c>
      <c r="DS18">
        <v>1</v>
      </c>
      <c r="DY18" s="1">
        <f t="shared" si="118"/>
        <v>1</v>
      </c>
      <c r="EC18">
        <v>1</v>
      </c>
      <c r="EG18">
        <v>1</v>
      </c>
      <c r="EH18">
        <v>1</v>
      </c>
      <c r="EI18">
        <v>1</v>
      </c>
      <c r="EM18">
        <v>1</v>
      </c>
      <c r="FA18">
        <v>1</v>
      </c>
      <c r="FB18">
        <v>1</v>
      </c>
      <c r="FC18">
        <v>1</v>
      </c>
      <c r="FD18" s="1">
        <f t="shared" si="119"/>
        <v>8</v>
      </c>
      <c r="FI18">
        <v>1</v>
      </c>
      <c r="GJ18" s="1">
        <f t="shared" si="120"/>
        <v>1</v>
      </c>
      <c r="HO18" s="1">
        <f t="shared" si="121"/>
        <v>0</v>
      </c>
      <c r="IU18" s="1">
        <f t="shared" si="122"/>
        <v>0</v>
      </c>
      <c r="IV18">
        <f t="shared" si="123"/>
        <v>744</v>
      </c>
    </row>
    <row r="19" ht="32.399999999999999" customHeight="1">
      <c r="A19" s="5"/>
      <c r="B19" s="2"/>
      <c r="AH19" s="7">
        <f t="shared" si="115"/>
        <v>0</v>
      </c>
      <c r="AI19" t="s">
        <v>129</v>
      </c>
      <c r="AJ19" s="30" t="s">
        <v>129</v>
      </c>
      <c r="AK19" s="30" t="s">
        <v>129</v>
      </c>
      <c r="AQ19" t="s">
        <v>124</v>
      </c>
      <c r="AR19" t="s">
        <v>124</v>
      </c>
      <c r="AS19" t="s">
        <v>124</v>
      </c>
      <c r="AY19" t="s">
        <v>124</v>
      </c>
      <c r="AZ19" t="s">
        <v>129</v>
      </c>
      <c r="BA19" t="s">
        <v>129</v>
      </c>
      <c r="BD19" t="s">
        <v>130</v>
      </c>
      <c r="BE19" t="s">
        <v>130</v>
      </c>
      <c r="BF19" s="45" t="s">
        <v>131</v>
      </c>
      <c r="BL19" t="s">
        <v>129</v>
      </c>
      <c r="BM19" s="1">
        <f t="shared" si="116"/>
        <v>0</v>
      </c>
      <c r="BS19" t="s">
        <v>129</v>
      </c>
      <c r="BT19" t="s">
        <v>129</v>
      </c>
      <c r="BU19" t="s">
        <v>132</v>
      </c>
      <c r="BV19" t="s">
        <v>132</v>
      </c>
      <c r="BW19" t="s">
        <v>132</v>
      </c>
      <c r="FI19" t="s">
        <v>133</v>
      </c>
    </row>
    <row r="20" ht="32.399999999999999" customHeight="1">
      <c r="A20" s="5"/>
      <c r="B20" s="2"/>
      <c r="AH20" s="7">
        <f t="shared" si="115"/>
        <v>0</v>
      </c>
      <c r="AR20" t="s">
        <v>134</v>
      </c>
      <c r="BM20" s="1">
        <f t="shared" si="116"/>
        <v>0</v>
      </c>
    </row>
    <row r="21" ht="32.399999999999999" customHeight="1">
      <c r="A21" s="5"/>
      <c r="B21" s="2"/>
      <c r="AH21" s="7">
        <f t="shared" si="115"/>
        <v>0</v>
      </c>
      <c r="BM21" s="1">
        <f t="shared" si="116"/>
        <v>0</v>
      </c>
    </row>
    <row r="22" ht="32.399999999999999" customHeight="1">
      <c r="A22" s="5"/>
      <c r="B22" s="2"/>
      <c r="AH22" s="7">
        <f t="shared" si="115"/>
        <v>0</v>
      </c>
      <c r="BM22" s="1">
        <f t="shared" si="116"/>
        <v>0</v>
      </c>
    </row>
    <row r="23" ht="32.399999999999999" customHeight="1">
      <c r="A23" s="5"/>
      <c r="B23" s="2"/>
      <c r="AH23" s="7">
        <f t="shared" si="115"/>
        <v>0</v>
      </c>
      <c r="BM23" s="1">
        <f t="shared" si="116"/>
        <v>0</v>
      </c>
    </row>
    <row r="86" ht="23.850000000000001">
      <c r="B86" s="5" t="s">
        <v>34</v>
      </c>
    </row>
    <row r="87" ht="13.800000000000001">
      <c r="B87" s="5" t="s">
        <v>35</v>
      </c>
    </row>
    <row r="88" ht="13.800000000000001">
      <c r="B88" s="5" t="s">
        <v>36</v>
      </c>
    </row>
    <row r="89" ht="13.800000000000001">
      <c r="B89" s="5" t="s">
        <v>37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&amp;C&amp;12Страница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theme="4" tint="0.39997558519241921"/>
    <outlinePr applyStyles="0" summaryBelow="1" summaryRight="1" showOutlineSymbols="1"/>
    <pageSetUpPr autoPageBreaks="1" fitToPage="0"/>
  </sheetPr>
  <sheetViews>
    <sheetView showFormulas="0" showGridLines="1" showRowColHeaders="1" showZeros="1" rightToLeft="0" zoomScale="100" workbookViewId="0">
      <pane xSplit="1" ySplit="1" topLeftCell="B2" activePane="bottomRight" state="frozen"/>
      <selection activeCell="E17" activeCellId="0" sqref="E17"/>
    </sheetView>
  </sheetViews>
  <sheetFormatPr defaultColWidth="12.67578125" defaultRowHeight="13.5"/>
  <cols>
    <col customWidth="1" min="1" max="1" style="1" width="42.329999999999998"/>
    <col customWidth="1" min="2" max="2" style="1" width="38.140000000000001"/>
    <col customWidth="1" hidden="1" min="3" max="33" width="0"/>
    <col customWidth="0" hidden="1" min="34" max="34" style="1" width="12.67"/>
    <col customWidth="1" hidden="1" min="65" max="65" style="1" width="0"/>
    <col customWidth="0" hidden="1" min="97" max="97" style="1" width="12.67"/>
    <col customWidth="0" hidden="1" min="129" max="129" style="1" width="12.67"/>
    <col customWidth="1" hidden="1" min="160" max="160" style="1" width="0"/>
    <col customWidth="1" hidden="1" min="192" max="192" style="1" width="0"/>
    <col customWidth="1" hidden="1" min="223" max="223" style="1" width="0"/>
    <col customWidth="1" min="251" max="251" width="42.57421875"/>
    <col customWidth="1" hidden="1" min="255" max="255" style="1" width="0"/>
  </cols>
  <sheetData>
    <row r="1" ht="34.200000000000003" customHeight="1">
      <c r="A1" s="2" t="s">
        <v>0</v>
      </c>
      <c r="B1" s="2" t="s">
        <v>1</v>
      </c>
      <c r="C1" s="3">
        <v>46143</v>
      </c>
      <c r="D1" s="3">
        <v>46144</v>
      </c>
      <c r="E1" s="3">
        <v>46145</v>
      </c>
      <c r="F1" s="3">
        <v>46146</v>
      </c>
      <c r="G1" s="3">
        <v>46147</v>
      </c>
      <c r="H1" s="3">
        <v>46148</v>
      </c>
      <c r="I1" s="3">
        <v>46149</v>
      </c>
      <c r="J1" s="3">
        <v>46150</v>
      </c>
      <c r="K1" s="3">
        <v>46151</v>
      </c>
      <c r="L1" s="3">
        <v>46152</v>
      </c>
      <c r="M1" s="3">
        <v>46153</v>
      </c>
      <c r="N1" s="3">
        <v>46154</v>
      </c>
      <c r="O1" s="3">
        <v>46155</v>
      </c>
      <c r="P1" s="3">
        <v>46156</v>
      </c>
      <c r="Q1" s="3">
        <v>46157</v>
      </c>
      <c r="R1" s="3">
        <v>46158</v>
      </c>
      <c r="S1" s="3">
        <v>46159</v>
      </c>
      <c r="T1" s="3">
        <v>46160</v>
      </c>
      <c r="U1" s="3">
        <v>46161</v>
      </c>
      <c r="V1" s="3">
        <v>46162</v>
      </c>
      <c r="W1" s="3">
        <v>46163</v>
      </c>
      <c r="X1" s="3">
        <v>46164</v>
      </c>
      <c r="Y1" s="3">
        <v>46165</v>
      </c>
      <c r="Z1" s="3">
        <v>46166</v>
      </c>
      <c r="AA1" s="3">
        <v>46167</v>
      </c>
      <c r="AB1" s="3">
        <v>46168</v>
      </c>
      <c r="AC1" s="3">
        <v>46169</v>
      </c>
      <c r="AD1" s="3">
        <v>46170</v>
      </c>
      <c r="AE1" s="3">
        <v>46171</v>
      </c>
      <c r="AF1" s="3">
        <v>46172</v>
      </c>
      <c r="AG1" s="3">
        <v>46173</v>
      </c>
      <c r="AH1" s="3" t="s">
        <v>2</v>
      </c>
      <c r="AI1" s="3">
        <v>46174</v>
      </c>
      <c r="AJ1" s="3">
        <v>46175</v>
      </c>
      <c r="AK1" s="3">
        <v>46176</v>
      </c>
      <c r="AL1" s="3">
        <v>46177</v>
      </c>
      <c r="AM1" s="3">
        <v>46178</v>
      </c>
      <c r="AN1" s="3">
        <v>46179</v>
      </c>
      <c r="AO1" s="3">
        <v>46180</v>
      </c>
      <c r="AP1" s="3">
        <v>46181</v>
      </c>
      <c r="AQ1" s="3">
        <v>46182</v>
      </c>
      <c r="AR1" s="3">
        <v>46183</v>
      </c>
      <c r="AS1" s="3">
        <v>46184</v>
      </c>
      <c r="AT1" s="3">
        <v>46185</v>
      </c>
      <c r="AU1" s="3">
        <v>46186</v>
      </c>
      <c r="AV1" s="3">
        <v>46187</v>
      </c>
      <c r="AW1" s="3">
        <v>46188</v>
      </c>
      <c r="AX1" s="3">
        <v>46189</v>
      </c>
      <c r="AY1" s="3">
        <v>46190</v>
      </c>
      <c r="AZ1" s="3">
        <v>46191</v>
      </c>
      <c r="BA1" s="3">
        <v>46192</v>
      </c>
      <c r="BB1" s="3">
        <v>46193</v>
      </c>
      <c r="BC1" s="3">
        <v>46194</v>
      </c>
      <c r="BD1" s="3">
        <v>46195</v>
      </c>
      <c r="BE1" s="3">
        <v>46196</v>
      </c>
      <c r="BF1" s="3">
        <v>46197</v>
      </c>
      <c r="BG1" s="3">
        <v>46198</v>
      </c>
      <c r="BH1" s="3">
        <v>46199</v>
      </c>
      <c r="BI1" s="3">
        <v>46200</v>
      </c>
      <c r="BJ1" s="3">
        <v>46201</v>
      </c>
      <c r="BK1" s="3">
        <v>46202</v>
      </c>
      <c r="BL1" s="3">
        <v>46203</v>
      </c>
      <c r="BM1" s="3" t="s">
        <v>3</v>
      </c>
      <c r="BN1" s="3">
        <v>46204</v>
      </c>
      <c r="BO1" s="3">
        <v>46205</v>
      </c>
      <c r="BP1" s="3">
        <v>46206</v>
      </c>
      <c r="BQ1" s="3">
        <v>46207</v>
      </c>
      <c r="BR1" s="3">
        <v>46208</v>
      </c>
      <c r="BS1" s="3">
        <v>46209</v>
      </c>
      <c r="BT1" s="3">
        <v>46210</v>
      </c>
      <c r="BU1" s="3">
        <v>46211</v>
      </c>
      <c r="BV1" s="3">
        <v>46212</v>
      </c>
      <c r="BW1" s="3">
        <v>46213</v>
      </c>
      <c r="BX1" s="3">
        <v>46214</v>
      </c>
      <c r="BY1" s="3">
        <v>46215</v>
      </c>
      <c r="BZ1" s="3">
        <v>46216</v>
      </c>
      <c r="CA1" s="3">
        <v>46217</v>
      </c>
      <c r="CB1" s="3">
        <v>46218</v>
      </c>
      <c r="CC1" s="3">
        <v>46219</v>
      </c>
      <c r="CD1" s="3">
        <v>46220</v>
      </c>
      <c r="CE1" s="3">
        <v>46221</v>
      </c>
      <c r="CF1" s="3">
        <v>46222</v>
      </c>
      <c r="CG1" s="3">
        <v>46223</v>
      </c>
      <c r="CH1" s="3">
        <v>46224</v>
      </c>
      <c r="CI1" s="3">
        <v>46225</v>
      </c>
      <c r="CJ1" s="3">
        <v>46226</v>
      </c>
      <c r="CK1" s="3">
        <v>46227</v>
      </c>
      <c r="CL1" s="3">
        <v>46228</v>
      </c>
      <c r="CM1" s="3">
        <v>46229</v>
      </c>
      <c r="CN1" s="3">
        <v>46230</v>
      </c>
      <c r="CO1" s="3">
        <v>46231</v>
      </c>
      <c r="CP1" s="3">
        <v>46232</v>
      </c>
      <c r="CQ1" s="3">
        <v>46233</v>
      </c>
      <c r="CR1" s="3">
        <v>46234</v>
      </c>
      <c r="CS1" s="3" t="s">
        <v>4</v>
      </c>
      <c r="CT1" s="3">
        <v>46235</v>
      </c>
      <c r="CU1" s="3">
        <v>46236</v>
      </c>
      <c r="CV1" s="3">
        <v>46237</v>
      </c>
      <c r="CW1" s="3">
        <v>46238</v>
      </c>
      <c r="CX1" s="3">
        <v>46239</v>
      </c>
      <c r="CY1" s="3">
        <v>46240</v>
      </c>
      <c r="CZ1" s="3">
        <v>46241</v>
      </c>
      <c r="DA1" s="3">
        <v>46242</v>
      </c>
      <c r="DB1" s="3">
        <v>46243</v>
      </c>
      <c r="DC1" s="3">
        <v>46244</v>
      </c>
      <c r="DD1" s="3">
        <v>46245</v>
      </c>
      <c r="DE1" s="3">
        <v>46246</v>
      </c>
      <c r="DF1" s="3">
        <v>46247</v>
      </c>
      <c r="DG1" s="3">
        <v>46248</v>
      </c>
      <c r="DH1" s="3">
        <v>46249</v>
      </c>
      <c r="DI1" s="3">
        <v>46250</v>
      </c>
      <c r="DJ1" s="3">
        <v>46251</v>
      </c>
      <c r="DK1" s="3">
        <v>46252</v>
      </c>
      <c r="DL1" s="3">
        <v>46253</v>
      </c>
      <c r="DM1" s="3">
        <v>46254</v>
      </c>
      <c r="DN1" s="3">
        <v>46255</v>
      </c>
      <c r="DO1" s="3">
        <v>46256</v>
      </c>
      <c r="DP1" s="3">
        <v>46257</v>
      </c>
      <c r="DQ1" s="3">
        <v>46258</v>
      </c>
      <c r="DR1" s="3">
        <v>46259</v>
      </c>
      <c r="DS1" s="3">
        <v>46260</v>
      </c>
      <c r="DT1" s="3">
        <v>46261</v>
      </c>
      <c r="DU1" s="3">
        <v>46262</v>
      </c>
      <c r="DV1" s="3">
        <v>46263</v>
      </c>
      <c r="DW1" s="3">
        <v>46264</v>
      </c>
      <c r="DX1" s="3">
        <v>46265</v>
      </c>
      <c r="DY1" s="3" t="s">
        <v>5</v>
      </c>
      <c r="DZ1" s="3">
        <v>46266</v>
      </c>
      <c r="EA1" s="3">
        <v>46267</v>
      </c>
      <c r="EB1" s="3">
        <v>46268</v>
      </c>
      <c r="EC1" s="3">
        <v>46269</v>
      </c>
      <c r="ED1" s="3">
        <v>46270</v>
      </c>
      <c r="EE1" s="3">
        <v>46271</v>
      </c>
      <c r="EF1" s="3">
        <v>46272</v>
      </c>
      <c r="EG1" s="3">
        <v>46273</v>
      </c>
      <c r="EH1" s="3">
        <v>46274</v>
      </c>
      <c r="EI1" s="3">
        <v>46275</v>
      </c>
      <c r="EJ1" s="3">
        <v>46276</v>
      </c>
      <c r="EK1" s="3">
        <v>46277</v>
      </c>
      <c r="EL1" s="3">
        <v>46278</v>
      </c>
      <c r="EM1" s="3">
        <v>46279</v>
      </c>
      <c r="EN1" s="3">
        <v>46280</v>
      </c>
      <c r="EO1" s="3">
        <v>46281</v>
      </c>
      <c r="EP1" s="3">
        <v>46282</v>
      </c>
      <c r="EQ1" s="3">
        <v>46283</v>
      </c>
      <c r="ER1" s="3">
        <v>46284</v>
      </c>
      <c r="ES1" s="3">
        <v>46285</v>
      </c>
      <c r="ET1" s="3">
        <v>46286</v>
      </c>
      <c r="EU1" s="3">
        <v>46287</v>
      </c>
      <c r="EV1" s="3">
        <v>46288</v>
      </c>
      <c r="EW1" s="3">
        <v>46289</v>
      </c>
      <c r="EX1" s="3">
        <v>46290</v>
      </c>
      <c r="EY1" s="3">
        <v>46291</v>
      </c>
      <c r="EZ1" s="3">
        <v>46292</v>
      </c>
      <c r="FA1" s="3">
        <v>46293</v>
      </c>
      <c r="FB1" s="3">
        <v>46294</v>
      </c>
      <c r="FC1" s="3">
        <v>46295</v>
      </c>
      <c r="FD1" s="3" t="s">
        <v>6</v>
      </c>
      <c r="FE1" s="3">
        <v>46296</v>
      </c>
      <c r="FF1" s="3">
        <v>46297</v>
      </c>
      <c r="FG1" s="3">
        <v>46298</v>
      </c>
      <c r="FH1" s="3">
        <v>46299</v>
      </c>
      <c r="FI1" s="3">
        <v>46300</v>
      </c>
      <c r="FJ1" s="3">
        <v>46301</v>
      </c>
      <c r="FK1" s="3">
        <v>46302</v>
      </c>
      <c r="FL1" s="3">
        <v>46303</v>
      </c>
      <c r="FM1" s="3">
        <v>46304</v>
      </c>
      <c r="FN1" s="3">
        <v>46305</v>
      </c>
      <c r="FO1" s="3">
        <v>46306</v>
      </c>
      <c r="FP1" s="3">
        <v>46307</v>
      </c>
      <c r="FQ1" s="3">
        <v>46308</v>
      </c>
      <c r="FR1" s="3">
        <v>46309</v>
      </c>
      <c r="FS1" s="3">
        <v>46310</v>
      </c>
      <c r="FT1" s="3">
        <v>46311</v>
      </c>
      <c r="FU1" s="3">
        <v>46312</v>
      </c>
      <c r="FV1" s="3">
        <v>46313</v>
      </c>
      <c r="FW1" s="3">
        <v>46314</v>
      </c>
      <c r="FX1" s="3">
        <v>46315</v>
      </c>
      <c r="FY1" s="3">
        <v>46316</v>
      </c>
      <c r="FZ1" s="3">
        <v>46317</v>
      </c>
      <c r="GA1" s="3">
        <v>46318</v>
      </c>
      <c r="GB1" s="3">
        <v>46319</v>
      </c>
      <c r="GC1" s="3">
        <v>46320</v>
      </c>
      <c r="GD1" s="3">
        <v>46321</v>
      </c>
      <c r="GE1" s="3">
        <v>46322</v>
      </c>
      <c r="GF1" s="3">
        <v>46323</v>
      </c>
      <c r="GG1" s="3">
        <v>46324</v>
      </c>
      <c r="GH1" s="3">
        <v>46325</v>
      </c>
      <c r="GI1" s="3">
        <v>46326</v>
      </c>
      <c r="GJ1" s="3" t="s">
        <v>7</v>
      </c>
      <c r="GK1" s="3">
        <v>46327</v>
      </c>
      <c r="GL1" s="3">
        <v>46328</v>
      </c>
      <c r="GM1" s="3">
        <v>46329</v>
      </c>
      <c r="GN1" s="3">
        <v>46330</v>
      </c>
      <c r="GO1" s="3">
        <v>46331</v>
      </c>
      <c r="GP1" s="3">
        <v>46332</v>
      </c>
      <c r="GQ1" s="3">
        <v>46333</v>
      </c>
      <c r="GR1" s="3">
        <v>46334</v>
      </c>
      <c r="GS1" s="3">
        <v>46335</v>
      </c>
      <c r="GT1" s="3">
        <v>46336</v>
      </c>
      <c r="GU1" s="3">
        <v>46337</v>
      </c>
      <c r="GV1" s="3">
        <v>46338</v>
      </c>
      <c r="GW1" s="3">
        <v>46339</v>
      </c>
      <c r="GX1" s="3">
        <v>46340</v>
      </c>
      <c r="GY1" s="3">
        <v>46341</v>
      </c>
      <c r="GZ1" s="3">
        <v>46342</v>
      </c>
      <c r="HA1" s="3">
        <v>46343</v>
      </c>
      <c r="HB1" s="3">
        <v>46344</v>
      </c>
      <c r="HC1" s="3">
        <v>46345</v>
      </c>
      <c r="HD1" s="3">
        <v>46346</v>
      </c>
      <c r="HE1" s="3">
        <v>46347</v>
      </c>
      <c r="HF1" s="3">
        <v>46348</v>
      </c>
      <c r="HG1" s="3">
        <v>46349</v>
      </c>
      <c r="HH1" s="3">
        <v>46350</v>
      </c>
      <c r="HI1" s="3">
        <v>46351</v>
      </c>
      <c r="HJ1" s="3">
        <v>46352</v>
      </c>
      <c r="HK1" s="3">
        <v>46353</v>
      </c>
      <c r="HL1" s="3">
        <v>46354</v>
      </c>
      <c r="HM1" s="3">
        <v>46355</v>
      </c>
      <c r="HN1" s="3">
        <v>46356</v>
      </c>
      <c r="HO1" s="3" t="s">
        <v>8</v>
      </c>
      <c r="HP1" s="3">
        <v>46357</v>
      </c>
      <c r="HQ1" s="3">
        <v>46358</v>
      </c>
      <c r="HR1" s="3">
        <v>46359</v>
      </c>
      <c r="HS1" s="3">
        <v>46360</v>
      </c>
      <c r="HT1" s="3">
        <v>46361</v>
      </c>
      <c r="HU1" s="3">
        <v>46362</v>
      </c>
      <c r="HV1" s="3">
        <v>46363</v>
      </c>
      <c r="HW1" s="3">
        <v>46364</v>
      </c>
      <c r="HX1" s="3">
        <v>46365</v>
      </c>
      <c r="HY1" s="3">
        <v>46366</v>
      </c>
      <c r="HZ1" s="3">
        <v>46367</v>
      </c>
      <c r="IA1" s="3">
        <v>46368</v>
      </c>
      <c r="IB1" s="3">
        <v>46369</v>
      </c>
      <c r="IC1" s="3">
        <v>46370</v>
      </c>
      <c r="ID1" s="3">
        <v>46371</v>
      </c>
      <c r="IE1" s="3">
        <v>46372</v>
      </c>
      <c r="IF1" s="3">
        <v>46373</v>
      </c>
      <c r="IG1" s="3">
        <v>46374</v>
      </c>
      <c r="IH1" s="3">
        <v>46375</v>
      </c>
      <c r="II1" s="3">
        <v>46376</v>
      </c>
      <c r="IJ1" s="3">
        <v>46377</v>
      </c>
      <c r="IK1" s="3">
        <v>46378</v>
      </c>
      <c r="IL1" s="3">
        <v>46379</v>
      </c>
      <c r="IM1" s="3">
        <v>46380</v>
      </c>
      <c r="IN1" s="3">
        <v>46381</v>
      </c>
      <c r="IO1" s="3">
        <v>46382</v>
      </c>
      <c r="IP1" s="3">
        <v>46383</v>
      </c>
      <c r="IQ1" s="3">
        <v>46384</v>
      </c>
      <c r="IR1" s="3">
        <v>46385</v>
      </c>
      <c r="IS1" s="3">
        <v>46386</v>
      </c>
      <c r="IT1" s="3">
        <v>46387</v>
      </c>
      <c r="IU1" s="4" t="s">
        <v>9</v>
      </c>
      <c r="IV1" t="s">
        <v>10</v>
      </c>
    </row>
    <row r="2" ht="85.5" customHeight="1">
      <c r="A2" s="5" t="s">
        <v>39</v>
      </c>
      <c r="B2" s="2" t="s">
        <v>12</v>
      </c>
      <c r="C2" s="6"/>
      <c r="D2" s="1"/>
      <c r="E2" s="1"/>
      <c r="AH2" s="7">
        <f t="shared" ref="AH2:AH9" si="124">SUM(C2:AG2)</f>
        <v>0</v>
      </c>
      <c r="AJ2" s="1"/>
      <c r="AR2" s="30"/>
      <c r="BM2" s="1"/>
      <c r="CS2" s="1"/>
      <c r="DY2" s="1"/>
      <c r="ET2">
        <v>12.449999999999999</v>
      </c>
      <c r="EV2">
        <v>49.289999999999999</v>
      </c>
      <c r="EW2">
        <v>71.579999999999998</v>
      </c>
      <c r="EX2">
        <v>20.66</v>
      </c>
      <c r="FB2">
        <v>36.640000000000001</v>
      </c>
      <c r="FC2">
        <v>44.969999999999999</v>
      </c>
      <c r="FD2" s="1">
        <f t="shared" ref="FD2:FD9" si="125">SUM(EC2:FC2)</f>
        <v>235.59</v>
      </c>
      <c r="FE2">
        <v>110.23</v>
      </c>
      <c r="FI2">
        <v>82.879999999999995</v>
      </c>
      <c r="GJ2" s="1">
        <f t="shared" ref="GJ2:GJ9" si="126">SUM(FE2:GI2)</f>
        <v>193.11000000000001</v>
      </c>
      <c r="HO2" s="1">
        <f t="shared" ref="HO2:HO9" si="127">SUM(GK2:HN2)</f>
        <v>0</v>
      </c>
      <c r="IU2" s="1">
        <f t="shared" ref="IU2:IU9" si="128">SUM(HP2:IT2)</f>
        <v>0</v>
      </c>
    </row>
    <row r="3" ht="32.399999999999999" customHeight="1">
      <c r="A3" s="5" t="s">
        <v>15</v>
      </c>
      <c r="B3" s="2" t="s">
        <v>16</v>
      </c>
      <c r="AH3" s="7">
        <f t="shared" si="124"/>
        <v>0</v>
      </c>
      <c r="BM3" s="1"/>
      <c r="CS3" s="1"/>
      <c r="DY3" s="1"/>
      <c r="FD3" s="1">
        <f t="shared" si="125"/>
        <v>0</v>
      </c>
      <c r="GJ3" s="1">
        <f t="shared" si="126"/>
        <v>0</v>
      </c>
      <c r="HO3" s="1">
        <f t="shared" si="127"/>
        <v>0</v>
      </c>
      <c r="IU3" s="1">
        <f t="shared" si="128"/>
        <v>0</v>
      </c>
    </row>
    <row r="4" ht="32.399999999999999" customHeight="1">
      <c r="A4" s="5" t="s">
        <v>17</v>
      </c>
      <c r="B4" s="2" t="s">
        <v>16</v>
      </c>
      <c r="AH4" s="7">
        <f t="shared" si="124"/>
        <v>0</v>
      </c>
      <c r="BM4" s="1"/>
      <c r="CS4" s="1"/>
      <c r="DY4" s="1"/>
      <c r="FA4">
        <v>8</v>
      </c>
      <c r="FD4" s="1">
        <f t="shared" si="125"/>
        <v>8</v>
      </c>
      <c r="GJ4" s="1">
        <f t="shared" si="126"/>
        <v>0</v>
      </c>
      <c r="HO4" s="1">
        <f t="shared" si="127"/>
        <v>0</v>
      </c>
      <c r="IU4" s="1">
        <f t="shared" si="128"/>
        <v>0</v>
      </c>
    </row>
    <row r="5" ht="32.399999999999999" customHeight="1">
      <c r="A5" s="5" t="s">
        <v>18</v>
      </c>
      <c r="B5" s="2" t="s">
        <v>16</v>
      </c>
      <c r="AH5" s="7">
        <f t="shared" si="124"/>
        <v>0</v>
      </c>
      <c r="BM5" s="1"/>
      <c r="CS5" s="1"/>
      <c r="DY5" s="1"/>
      <c r="FA5">
        <v>8</v>
      </c>
      <c r="FD5" s="1">
        <f t="shared" si="125"/>
        <v>8</v>
      </c>
      <c r="GJ5" s="1">
        <f t="shared" si="126"/>
        <v>0</v>
      </c>
      <c r="HO5" s="1">
        <f t="shared" si="127"/>
        <v>0</v>
      </c>
      <c r="IU5" s="1">
        <f t="shared" si="128"/>
        <v>0</v>
      </c>
    </row>
    <row r="6" ht="32.399999999999999" customHeight="1">
      <c r="A6" s="5" t="s">
        <v>19</v>
      </c>
      <c r="B6" s="2" t="s">
        <v>16</v>
      </c>
      <c r="AH6" s="7">
        <f t="shared" si="124"/>
        <v>0</v>
      </c>
      <c r="BM6" s="1"/>
      <c r="CS6" s="1"/>
      <c r="DY6" s="1"/>
      <c r="FD6" s="1">
        <f t="shared" si="125"/>
        <v>0</v>
      </c>
      <c r="GJ6" s="1">
        <f t="shared" si="126"/>
        <v>0</v>
      </c>
      <c r="HO6" s="1">
        <f t="shared" si="127"/>
        <v>0</v>
      </c>
      <c r="IU6" s="1">
        <f t="shared" si="128"/>
        <v>0</v>
      </c>
    </row>
    <row r="7" ht="32.399999999999999" customHeight="1">
      <c r="A7" s="5" t="s">
        <v>20</v>
      </c>
      <c r="B7" s="2" t="s">
        <v>16</v>
      </c>
      <c r="AH7" s="7">
        <f t="shared" si="124"/>
        <v>0</v>
      </c>
      <c r="BM7" s="1"/>
      <c r="CS7" s="1"/>
      <c r="DY7" s="1"/>
      <c r="FD7" s="1">
        <f t="shared" si="125"/>
        <v>0</v>
      </c>
      <c r="GJ7" s="1">
        <f t="shared" si="126"/>
        <v>0</v>
      </c>
      <c r="HO7" s="1">
        <f t="shared" si="127"/>
        <v>0</v>
      </c>
      <c r="IU7" s="1">
        <f t="shared" si="128"/>
        <v>0</v>
      </c>
    </row>
    <row r="8" ht="32.399999999999999" customHeight="1">
      <c r="A8" s="5" t="s">
        <v>21</v>
      </c>
      <c r="B8" s="2" t="s">
        <v>22</v>
      </c>
      <c r="AH8" s="7">
        <f t="shared" si="124"/>
        <v>0</v>
      </c>
      <c r="BM8" s="1"/>
      <c r="CS8" s="1"/>
      <c r="DY8" s="1"/>
      <c r="FD8" s="1">
        <f t="shared" si="125"/>
        <v>0</v>
      </c>
      <c r="GJ8" s="1">
        <f t="shared" si="126"/>
        <v>0</v>
      </c>
      <c r="HO8" s="1">
        <f t="shared" si="127"/>
        <v>0</v>
      </c>
      <c r="IU8" s="1">
        <f t="shared" si="128"/>
        <v>0</v>
      </c>
    </row>
    <row r="9" ht="32.399999999999999" customHeight="1">
      <c r="A9" s="5" t="s">
        <v>23</v>
      </c>
      <c r="B9" s="2" t="s">
        <v>16</v>
      </c>
      <c r="AH9" s="7">
        <f t="shared" si="124"/>
        <v>0</v>
      </c>
      <c r="BM9" s="1"/>
      <c r="CS9" s="1"/>
      <c r="DY9" s="1"/>
      <c r="EW9">
        <v>17</v>
      </c>
      <c r="FA9">
        <v>23</v>
      </c>
      <c r="FC9">
        <v>13</v>
      </c>
      <c r="FD9" s="1">
        <f t="shared" si="125"/>
        <v>53</v>
      </c>
      <c r="FE9">
        <v>22</v>
      </c>
      <c r="FF9">
        <v>15</v>
      </c>
      <c r="FI9">
        <v>15</v>
      </c>
      <c r="GJ9" s="1">
        <f t="shared" si="126"/>
        <v>52</v>
      </c>
      <c r="HO9" s="1">
        <f t="shared" si="127"/>
        <v>0</v>
      </c>
      <c r="IU9" s="1">
        <f t="shared" si="128"/>
        <v>0</v>
      </c>
    </row>
    <row r="10" ht="32.399999999999999" customHeight="1">
      <c r="A10" s="5" t="s">
        <v>24</v>
      </c>
      <c r="B10" s="2" t="s">
        <v>16</v>
      </c>
      <c r="AH10" s="7">
        <f t="shared" ref="AH10:AH24" si="129">SUM(C10:AG10)</f>
        <v>0</v>
      </c>
      <c r="BM10" s="1"/>
      <c r="CS10" s="1"/>
      <c r="DY10" s="1"/>
      <c r="EW10">
        <v>6</v>
      </c>
      <c r="EX10">
        <v>3</v>
      </c>
      <c r="FB10">
        <v>5</v>
      </c>
      <c r="FC10">
        <v>16</v>
      </c>
      <c r="FD10" s="1">
        <f t="shared" ref="FD10:FD24" si="130">SUM(EC10:FC10)</f>
        <v>30</v>
      </c>
      <c r="FE10">
        <v>9</v>
      </c>
      <c r="FF10">
        <v>24</v>
      </c>
      <c r="FI10">
        <v>4</v>
      </c>
      <c r="GJ10" s="1">
        <f t="shared" ref="GJ10:GJ24" si="131">SUM(FE10:GI10)</f>
        <v>37</v>
      </c>
      <c r="HO10" s="1">
        <f t="shared" ref="HO10:HO24" si="132">SUM(GK10:HN10)</f>
        <v>0</v>
      </c>
      <c r="IU10" s="1">
        <f t="shared" ref="IU10:IU24" si="133">SUM(HP10:IT10)</f>
        <v>0</v>
      </c>
    </row>
    <row r="11" ht="32.399999999999999" customHeight="1">
      <c r="A11" s="5" t="s">
        <v>25</v>
      </c>
      <c r="B11" s="2" t="s">
        <v>16</v>
      </c>
      <c r="AH11" s="7">
        <f t="shared" si="129"/>
        <v>0</v>
      </c>
      <c r="BM11" s="1"/>
      <c r="CS11" s="1"/>
      <c r="DY11" s="1"/>
      <c r="FD11" s="1">
        <f t="shared" si="130"/>
        <v>0</v>
      </c>
      <c r="GJ11" s="1">
        <f t="shared" si="131"/>
        <v>0</v>
      </c>
      <c r="HO11" s="1">
        <f t="shared" si="132"/>
        <v>0</v>
      </c>
      <c r="IU11" s="1">
        <f t="shared" si="133"/>
        <v>0</v>
      </c>
    </row>
    <row r="12" ht="32.399999999999999" customHeight="1">
      <c r="A12" s="5" t="s">
        <v>26</v>
      </c>
      <c r="B12" s="2" t="s">
        <v>16</v>
      </c>
      <c r="AH12" s="7">
        <f t="shared" si="129"/>
        <v>0</v>
      </c>
      <c r="BM12" s="1"/>
      <c r="CS12" s="1"/>
      <c r="DY12" s="1"/>
      <c r="FD12" s="1">
        <f t="shared" si="130"/>
        <v>0</v>
      </c>
      <c r="GJ12" s="1">
        <f t="shared" si="131"/>
        <v>0</v>
      </c>
      <c r="HO12" s="1">
        <f t="shared" si="132"/>
        <v>0</v>
      </c>
      <c r="IU12" s="1">
        <f t="shared" si="133"/>
        <v>0</v>
      </c>
    </row>
    <row r="13" ht="32.399999999999999" customHeight="1">
      <c r="A13" s="5" t="s">
        <v>27</v>
      </c>
      <c r="B13" s="2" t="s">
        <v>16</v>
      </c>
      <c r="AH13" s="7">
        <f t="shared" si="129"/>
        <v>0</v>
      </c>
      <c r="AP13" s="30"/>
      <c r="BM13" s="1"/>
      <c r="CS13" s="1"/>
      <c r="DY13" s="1"/>
      <c r="FD13" s="1">
        <f t="shared" si="130"/>
        <v>0</v>
      </c>
      <c r="GJ13" s="1">
        <f t="shared" si="131"/>
        <v>0</v>
      </c>
      <c r="HO13" s="1">
        <f t="shared" si="132"/>
        <v>0</v>
      </c>
      <c r="IU13" s="1">
        <f t="shared" si="133"/>
        <v>0</v>
      </c>
    </row>
    <row r="14" ht="32.399999999999999" customHeight="1">
      <c r="A14" s="5" t="s">
        <v>28</v>
      </c>
      <c r="B14" s="2" t="s">
        <v>16</v>
      </c>
      <c r="AH14" s="7">
        <f t="shared" si="129"/>
        <v>0</v>
      </c>
      <c r="AP14" s="30"/>
      <c r="BM14" s="1"/>
      <c r="CS14" s="1"/>
      <c r="DY14" s="1"/>
      <c r="FD14" s="1">
        <f t="shared" si="130"/>
        <v>0</v>
      </c>
      <c r="GJ14" s="1">
        <f t="shared" si="131"/>
        <v>0</v>
      </c>
      <c r="HO14" s="1">
        <f t="shared" si="132"/>
        <v>0</v>
      </c>
      <c r="IU14" s="1">
        <f t="shared" si="133"/>
        <v>0</v>
      </c>
    </row>
    <row r="15" ht="32.399999999999999" customHeight="1">
      <c r="A15" s="5" t="s">
        <v>29</v>
      </c>
      <c r="B15" s="2" t="s">
        <v>16</v>
      </c>
      <c r="AH15" s="7">
        <f t="shared" si="129"/>
        <v>0</v>
      </c>
      <c r="AP15" s="30"/>
      <c r="BM15" s="1"/>
      <c r="CS15" s="1"/>
      <c r="DY15" s="1"/>
      <c r="ET15">
        <v>19</v>
      </c>
      <c r="EU15">
        <v>57</v>
      </c>
      <c r="EV15">
        <v>2</v>
      </c>
      <c r="EW15">
        <v>21</v>
      </c>
      <c r="FA15">
        <v>13</v>
      </c>
      <c r="FC15">
        <v>13</v>
      </c>
      <c r="FD15" s="1">
        <f t="shared" si="130"/>
        <v>125</v>
      </c>
      <c r="FE15">
        <v>23</v>
      </c>
      <c r="FF15">
        <v>30</v>
      </c>
      <c r="FI15">
        <v>11</v>
      </c>
      <c r="GJ15" s="1">
        <f t="shared" si="131"/>
        <v>64</v>
      </c>
      <c r="HO15" s="1">
        <f t="shared" si="132"/>
        <v>0</v>
      </c>
      <c r="IU15" s="1">
        <f t="shared" si="133"/>
        <v>0</v>
      </c>
    </row>
    <row r="16" ht="32.399999999999999" customHeight="1">
      <c r="A16" s="5" t="s">
        <v>30</v>
      </c>
      <c r="B16" s="2" t="s">
        <v>22</v>
      </c>
      <c r="AH16" s="7">
        <f t="shared" si="129"/>
        <v>0</v>
      </c>
      <c r="AP16" s="30"/>
      <c r="BM16" s="1"/>
      <c r="CS16" s="1"/>
      <c r="DY16" s="1"/>
      <c r="FD16" s="1">
        <f t="shared" si="130"/>
        <v>0</v>
      </c>
      <c r="GJ16" s="1">
        <f t="shared" si="131"/>
        <v>0</v>
      </c>
      <c r="HO16" s="1">
        <f t="shared" si="132"/>
        <v>0</v>
      </c>
      <c r="IU16" s="1">
        <f t="shared" si="133"/>
        <v>0</v>
      </c>
    </row>
    <row r="17" ht="32.399999999999999" customHeight="1">
      <c r="A17" s="5" t="s">
        <v>31</v>
      </c>
      <c r="B17" s="2" t="s">
        <v>16</v>
      </c>
      <c r="E17">
        <v>539.42999999999995</v>
      </c>
      <c r="AH17" s="7">
        <f t="shared" si="129"/>
        <v>539.42999999999995</v>
      </c>
      <c r="AP17" s="30"/>
      <c r="BM17" s="1"/>
      <c r="FD17" s="1">
        <f t="shared" si="130"/>
        <v>0</v>
      </c>
      <c r="GJ17" s="1">
        <f t="shared" si="131"/>
        <v>0</v>
      </c>
      <c r="HO17" s="1">
        <f t="shared" si="132"/>
        <v>0</v>
      </c>
      <c r="IU17" s="1">
        <f t="shared" si="133"/>
        <v>0</v>
      </c>
    </row>
    <row r="18" ht="32.399999999999999" customHeight="1">
      <c r="A18" s="5" t="s">
        <v>32</v>
      </c>
      <c r="B18" s="2" t="s">
        <v>16</v>
      </c>
      <c r="C18" s="46">
        <v>153</v>
      </c>
      <c r="AH18" s="7">
        <f t="shared" si="129"/>
        <v>153</v>
      </c>
      <c r="AP18" s="30"/>
      <c r="BM18" s="1"/>
      <c r="CS18" s="1"/>
      <c r="DY18" s="1"/>
      <c r="FC18">
        <v>19</v>
      </c>
      <c r="FD18" s="1">
        <f t="shared" si="130"/>
        <v>19</v>
      </c>
      <c r="FE18">
        <v>13</v>
      </c>
      <c r="FF18">
        <v>8</v>
      </c>
      <c r="GJ18" s="1">
        <f t="shared" si="131"/>
        <v>21</v>
      </c>
      <c r="HO18" s="1">
        <f t="shared" si="132"/>
        <v>0</v>
      </c>
      <c r="IU18" s="1">
        <f t="shared" si="133"/>
        <v>0</v>
      </c>
    </row>
    <row r="19" ht="32.399999999999999" customHeight="1">
      <c r="A19" s="5" t="s">
        <v>33</v>
      </c>
      <c r="B19" s="2" t="s">
        <v>16</v>
      </c>
      <c r="C19" s="47">
        <v>2</v>
      </c>
      <c r="AH19" s="7">
        <f t="shared" si="129"/>
        <v>2</v>
      </c>
      <c r="AP19" s="30"/>
      <c r="BM19" s="1"/>
      <c r="CS19" s="1"/>
      <c r="DY19" s="1"/>
      <c r="FD19" s="1">
        <f t="shared" si="130"/>
        <v>0</v>
      </c>
      <c r="GJ19" s="1">
        <f t="shared" si="131"/>
        <v>0</v>
      </c>
      <c r="HO19" s="1">
        <f t="shared" si="132"/>
        <v>0</v>
      </c>
      <c r="IT19" s="48"/>
      <c r="IU19" s="1">
        <f t="shared" si="133"/>
        <v>0</v>
      </c>
    </row>
    <row r="20" ht="32.399999999999999" customHeight="1">
      <c r="A20" s="5" t="s">
        <v>34</v>
      </c>
      <c r="B20" s="2" t="s">
        <v>16</v>
      </c>
      <c r="C20" s="47">
        <v>2</v>
      </c>
      <c r="AH20" s="7">
        <f t="shared" si="129"/>
        <v>2</v>
      </c>
      <c r="AP20" s="30"/>
      <c r="BM20" s="1"/>
      <c r="CS20" s="1"/>
      <c r="DY20" s="1"/>
      <c r="FD20" s="1">
        <f t="shared" si="130"/>
        <v>0</v>
      </c>
      <c r="GJ20" s="1">
        <f t="shared" si="131"/>
        <v>0</v>
      </c>
      <c r="HO20" s="1">
        <f t="shared" si="132"/>
        <v>0</v>
      </c>
      <c r="IT20" s="49"/>
      <c r="IU20" s="1">
        <f t="shared" si="133"/>
        <v>0</v>
      </c>
    </row>
    <row r="21" ht="32.399999999999999" customHeight="1">
      <c r="A21" s="5" t="s">
        <v>35</v>
      </c>
      <c r="B21" s="2" t="s">
        <v>16</v>
      </c>
      <c r="C21" s="47">
        <v>42</v>
      </c>
      <c r="AH21" s="7">
        <f t="shared" si="129"/>
        <v>42</v>
      </c>
      <c r="AP21" s="30"/>
      <c r="BM21" s="1"/>
      <c r="CS21" s="1"/>
      <c r="DY21" s="1"/>
      <c r="FD21" s="1">
        <f t="shared" si="130"/>
        <v>0</v>
      </c>
      <c r="GJ21" s="1">
        <f t="shared" si="131"/>
        <v>0</v>
      </c>
      <c r="HO21" s="1">
        <f t="shared" si="132"/>
        <v>0</v>
      </c>
      <c r="IT21" s="49"/>
      <c r="IU21" s="1">
        <f t="shared" si="133"/>
        <v>0</v>
      </c>
    </row>
    <row r="22" ht="32.399999999999999" customHeight="1">
      <c r="A22" s="5" t="s">
        <v>36</v>
      </c>
      <c r="B22" s="2" t="s">
        <v>16</v>
      </c>
      <c r="C22" s="47">
        <f>46+99+213</f>
        <v>358</v>
      </c>
      <c r="AH22" s="7">
        <f t="shared" si="129"/>
        <v>358</v>
      </c>
      <c r="AP22" s="30"/>
      <c r="BM22" s="1"/>
      <c r="CS22" s="1"/>
      <c r="DY22" s="1"/>
      <c r="FD22" s="1">
        <f t="shared" si="130"/>
        <v>0</v>
      </c>
      <c r="GJ22" s="1">
        <f t="shared" si="131"/>
        <v>0</v>
      </c>
      <c r="HO22" s="1">
        <f t="shared" si="132"/>
        <v>0</v>
      </c>
      <c r="IT22" s="49"/>
      <c r="IU22" s="1">
        <f t="shared" si="133"/>
        <v>0</v>
      </c>
    </row>
    <row r="23" ht="32.399999999999999" customHeight="1">
      <c r="A23" s="5" t="s">
        <v>37</v>
      </c>
      <c r="B23" s="2" t="s">
        <v>16</v>
      </c>
      <c r="C23" s="47">
        <v>45</v>
      </c>
      <c r="AH23" s="7">
        <f t="shared" si="129"/>
        <v>45</v>
      </c>
      <c r="AP23" s="30"/>
      <c r="BM23" s="1"/>
      <c r="CS23" s="1"/>
      <c r="DY23" s="1"/>
      <c r="FD23" s="1">
        <f t="shared" si="130"/>
        <v>0</v>
      </c>
      <c r="GJ23" s="1">
        <f t="shared" si="131"/>
        <v>0</v>
      </c>
      <c r="HO23" s="1">
        <f t="shared" si="132"/>
        <v>0</v>
      </c>
      <c r="IT23" s="49"/>
      <c r="IU23" s="1">
        <f t="shared" si="133"/>
        <v>0</v>
      </c>
    </row>
    <row r="24" ht="32.399999999999999" customHeight="1">
      <c r="A24" s="5" t="s">
        <v>38</v>
      </c>
      <c r="B24" s="2" t="s">
        <v>16</v>
      </c>
      <c r="C24" s="50">
        <v>893</v>
      </c>
      <c r="AH24" s="7">
        <f t="shared" si="129"/>
        <v>893</v>
      </c>
      <c r="AP24" s="30"/>
      <c r="BM24" s="1"/>
      <c r="CS24" s="1"/>
      <c r="DY24" s="1"/>
      <c r="FD24" s="1">
        <f t="shared" si="130"/>
        <v>0</v>
      </c>
      <c r="GJ24" s="1">
        <f t="shared" si="131"/>
        <v>0</v>
      </c>
      <c r="HO24" s="1">
        <f t="shared" si="132"/>
        <v>0</v>
      </c>
      <c r="IU24" s="1">
        <f t="shared" si="133"/>
        <v>0</v>
      </c>
    </row>
    <row r="25" ht="42.75">
      <c r="AP25" s="30"/>
    </row>
    <row r="26" ht="13.5">
      <c r="AP26" s="30"/>
    </row>
    <row r="27" ht="13.5">
      <c r="AP27" s="30"/>
    </row>
    <row r="28" ht="13.5">
      <c r="AP28" s="30"/>
    </row>
    <row r="29" ht="13.5">
      <c r="AP29" s="30"/>
    </row>
    <row r="30" ht="13.5">
      <c r="AP30" s="30"/>
    </row>
    <row r="31" ht="13.5">
      <c r="AP31" s="30"/>
    </row>
    <row r="32" ht="107.25" customHeight="1">
      <c r="AP32" s="30"/>
      <c r="IQ32" s="51"/>
      <c r="IX32" s="35"/>
    </row>
    <row r="33" ht="14.25">
      <c r="AP33" s="30"/>
      <c r="IQ33" s="51"/>
    </row>
    <row r="34" ht="13.5">
      <c r="AP34" s="30"/>
    </row>
    <row r="35" ht="13.5">
      <c r="AP35" s="30"/>
    </row>
    <row r="36" ht="13.5">
      <c r="AP36" s="30"/>
    </row>
    <row r="37" ht="13.5">
      <c r="AP37" s="30"/>
    </row>
    <row r="38" ht="13.5">
      <c r="AP38" s="30"/>
    </row>
    <row r="39" ht="13.5">
      <c r="AP39" s="30"/>
    </row>
    <row r="40" ht="13.5">
      <c r="AP40" s="30"/>
    </row>
    <row r="41" ht="13.5">
      <c r="AP41" s="30"/>
    </row>
    <row r="42" ht="13.5">
      <c r="AP42" s="30"/>
    </row>
    <row r="43" ht="13.5">
      <c r="AP43" s="30"/>
    </row>
    <row r="44" ht="13.5">
      <c r="AP44" s="30"/>
    </row>
    <row r="45" ht="13.5">
      <c r="AP45" s="30"/>
    </row>
    <row r="46" ht="13.5">
      <c r="AP46" s="30"/>
    </row>
    <row r="47" ht="13.5">
      <c r="AP47" s="30"/>
    </row>
    <row r="48" ht="13.5">
      <c r="AP48" s="30"/>
    </row>
    <row r="49" ht="13.5">
      <c r="AP49" s="30"/>
    </row>
    <row r="50" ht="13.5">
      <c r="AP50" s="30"/>
    </row>
    <row r="51" ht="13.5">
      <c r="AP51" s="30"/>
    </row>
    <row r="52" ht="13.5">
      <c r="AP52" s="30"/>
    </row>
    <row r="53" ht="13.5">
      <c r="AP53" s="30"/>
    </row>
    <row r="54" ht="13.5">
      <c r="AP54" s="30"/>
    </row>
    <row r="55" ht="13.5">
      <c r="AP55" s="30"/>
    </row>
    <row r="56" ht="13.5">
      <c r="AP56" s="30"/>
    </row>
    <row r="57" ht="13.5">
      <c r="AP57" s="30"/>
    </row>
    <row r="58" ht="13.5">
      <c r="AP58" s="30"/>
    </row>
    <row r="59" ht="13.5">
      <c r="AP59" s="30"/>
    </row>
    <row r="60" ht="13.5">
      <c r="AP60" s="30"/>
    </row>
    <row r="61" ht="13.5">
      <c r="AP61" s="30"/>
    </row>
    <row r="62" ht="13.5">
      <c r="AP62" s="30"/>
    </row>
    <row r="63" ht="13.5">
      <c r="AP63" s="30"/>
    </row>
    <row r="64" ht="13.5">
      <c r="AP64" s="30"/>
    </row>
    <row r="65" ht="13.5">
      <c r="AP65" s="30"/>
    </row>
    <row r="66" ht="13.5">
      <c r="AP66" s="30"/>
    </row>
    <row r="67" ht="13.5">
      <c r="AP67" s="30"/>
    </row>
    <row r="68" ht="13.5">
      <c r="AP68" s="30"/>
    </row>
    <row r="69" ht="13.5">
      <c r="AP69" s="30"/>
    </row>
    <row r="70" ht="13.5">
      <c r="AP70" s="30"/>
    </row>
    <row r="71" ht="13.5">
      <c r="AP71" s="30"/>
    </row>
    <row r="72" ht="13.5">
      <c r="AP72" s="30"/>
    </row>
    <row r="73" ht="13.5">
      <c r="AP73" s="30"/>
    </row>
    <row r="74" ht="13.5">
      <c r="AP74" s="30"/>
    </row>
    <row r="75" ht="13.5">
      <c r="AP75" s="30"/>
    </row>
    <row r="86" ht="23.850000000000001">
      <c r="B86" s="5"/>
    </row>
    <row r="87" ht="13.800000000000001">
      <c r="B87" s="5"/>
    </row>
    <row r="88" ht="13.800000000000001">
      <c r="B88" s="5"/>
    </row>
    <row r="89" ht="13.800000000000001">
      <c r="B89" s="5"/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&amp;C&amp;12Страница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theme="5" tint="0.39997558519241921"/>
    <outlinePr applyStyles="0" summaryBelow="1" summaryRight="1" showOutlineSymbols="1"/>
    <pageSetUpPr autoPageBreaks="1" fitToPage="0"/>
  </sheetPr>
  <sheetViews>
    <sheetView showFormulas="0" showGridLines="1" showRowColHeaders="1" showZeros="1" rightToLeft="0" zoomScale="100" workbookViewId="0">
      <pane xSplit="1" ySplit="1" topLeftCell="B2" activePane="bottomRight" state="frozen"/>
      <selection activeCell="E17" activeCellId="0" sqref="E17"/>
    </sheetView>
  </sheetViews>
  <sheetFormatPr defaultColWidth="12.67578125" defaultRowHeight="13.5"/>
  <cols>
    <col customWidth="1" min="1" max="1" style="1" width="42.329999999999998"/>
    <col customWidth="1" min="2" max="2" style="1" width="18.421875"/>
    <col customWidth="1" hidden="1" min="3" max="33" width="0"/>
    <col customWidth="0" hidden="1" min="34" max="34" style="1" width="12.67"/>
    <col customWidth="1" hidden="1" min="44" max="44" style="1" width="0"/>
    <col customWidth="1" hidden="1" min="76" max="76" style="1" width="0"/>
    <col customWidth="1" hidden="1" min="107" max="107" style="1" width="0"/>
    <col customWidth="1" min="135" max="135" width="42.57421875"/>
    <col customWidth="1" hidden="1" min="139" max="139" style="1" width="0"/>
  </cols>
  <sheetData>
    <row r="1" ht="34.200000000000003" customHeight="1">
      <c r="A1" s="2" t="s">
        <v>0</v>
      </c>
      <c r="B1" s="2" t="s">
        <v>1</v>
      </c>
      <c r="C1" s="3">
        <v>46143</v>
      </c>
      <c r="D1" s="3">
        <v>46144</v>
      </c>
      <c r="E1" s="3">
        <v>46145</v>
      </c>
      <c r="F1" s="3">
        <v>46146</v>
      </c>
      <c r="G1" s="3">
        <v>46147</v>
      </c>
      <c r="H1" s="3">
        <v>46148</v>
      </c>
      <c r="I1" s="3">
        <v>46149</v>
      </c>
      <c r="J1" s="3">
        <v>46150</v>
      </c>
      <c r="K1" s="3">
        <v>46151</v>
      </c>
      <c r="L1" s="3">
        <v>46152</v>
      </c>
      <c r="M1" s="3">
        <v>46153</v>
      </c>
      <c r="N1" s="3">
        <v>46154</v>
      </c>
      <c r="O1" s="3">
        <v>46155</v>
      </c>
      <c r="P1" s="3">
        <v>46156</v>
      </c>
      <c r="Q1" s="3">
        <v>46157</v>
      </c>
      <c r="R1" s="3">
        <v>46158</v>
      </c>
      <c r="S1" s="3">
        <v>46159</v>
      </c>
      <c r="T1" s="3">
        <v>46160</v>
      </c>
      <c r="U1" s="3">
        <v>46161</v>
      </c>
      <c r="V1" s="3">
        <v>46162</v>
      </c>
      <c r="W1" s="3">
        <v>46163</v>
      </c>
      <c r="X1" s="3">
        <v>46164</v>
      </c>
      <c r="Y1" s="3">
        <v>46165</v>
      </c>
      <c r="Z1" s="3">
        <v>46166</v>
      </c>
      <c r="AA1" s="3">
        <v>46167</v>
      </c>
      <c r="AB1" s="3">
        <v>46168</v>
      </c>
      <c r="AC1" s="3">
        <v>46169</v>
      </c>
      <c r="AD1" s="3">
        <v>46170</v>
      </c>
      <c r="AE1" s="3">
        <v>46171</v>
      </c>
      <c r="AF1" s="3">
        <v>46172</v>
      </c>
      <c r="AG1" s="3">
        <v>46173</v>
      </c>
      <c r="AH1" s="3" t="s">
        <v>2</v>
      </c>
      <c r="AI1" s="52">
        <v>46287</v>
      </c>
      <c r="AJ1" s="52">
        <v>46288</v>
      </c>
      <c r="AK1" s="52">
        <v>46289</v>
      </c>
      <c r="AL1" s="52">
        <v>46290</v>
      </c>
      <c r="AM1" s="53">
        <v>46291</v>
      </c>
      <c r="AN1" s="53">
        <v>46292</v>
      </c>
      <c r="AO1" s="52">
        <v>46293</v>
      </c>
      <c r="AP1" s="52">
        <v>46294</v>
      </c>
      <c r="AQ1" s="52">
        <v>46295</v>
      </c>
      <c r="AR1" s="52" t="s">
        <v>6</v>
      </c>
      <c r="AS1" s="52">
        <v>46296</v>
      </c>
      <c r="AT1" s="52">
        <v>46297</v>
      </c>
      <c r="AU1" s="53">
        <v>46298</v>
      </c>
      <c r="AV1" s="53">
        <v>46299</v>
      </c>
      <c r="AW1" s="52">
        <v>46300</v>
      </c>
      <c r="AX1" s="52">
        <v>46301</v>
      </c>
      <c r="AY1" s="52">
        <v>46302</v>
      </c>
      <c r="AZ1" s="52">
        <v>46303</v>
      </c>
      <c r="BA1" s="52">
        <v>46304</v>
      </c>
      <c r="BB1" s="53">
        <v>46305</v>
      </c>
      <c r="BC1" s="53">
        <v>46306</v>
      </c>
      <c r="BD1" s="52">
        <v>46307</v>
      </c>
      <c r="BE1" s="52">
        <v>46308</v>
      </c>
      <c r="BF1" s="52">
        <v>46309</v>
      </c>
      <c r="BG1" s="52">
        <v>46310</v>
      </c>
      <c r="BH1" s="52">
        <v>46311</v>
      </c>
      <c r="BI1" s="53">
        <v>46312</v>
      </c>
      <c r="BJ1" s="53">
        <v>46313</v>
      </c>
      <c r="BK1" s="52">
        <v>46314</v>
      </c>
      <c r="BL1" s="52">
        <v>46315</v>
      </c>
      <c r="BM1" s="52">
        <v>46316</v>
      </c>
      <c r="BN1" s="52">
        <v>46317</v>
      </c>
      <c r="BO1" s="52">
        <v>46318</v>
      </c>
      <c r="BP1" s="53">
        <v>46319</v>
      </c>
      <c r="BQ1" s="53">
        <v>46320</v>
      </c>
      <c r="BR1" s="52">
        <v>46321</v>
      </c>
      <c r="BS1" s="52">
        <v>46322</v>
      </c>
      <c r="BT1" s="52">
        <v>46323</v>
      </c>
      <c r="BU1" s="52">
        <v>46324</v>
      </c>
      <c r="BV1" s="52">
        <v>46325</v>
      </c>
      <c r="BW1" s="53">
        <v>46326</v>
      </c>
      <c r="BX1" s="53" t="s">
        <v>7</v>
      </c>
      <c r="BY1" s="53">
        <v>46327</v>
      </c>
      <c r="BZ1" s="3">
        <v>46328</v>
      </c>
      <c r="CA1" s="3">
        <v>46329</v>
      </c>
      <c r="CB1" s="3">
        <v>46330</v>
      </c>
      <c r="CC1" s="3">
        <v>46331</v>
      </c>
      <c r="CD1" s="3">
        <v>46332</v>
      </c>
      <c r="CE1" s="3">
        <v>46333</v>
      </c>
      <c r="CF1" s="3">
        <v>46334</v>
      </c>
      <c r="CG1" s="3">
        <v>46335</v>
      </c>
      <c r="CH1" s="3">
        <v>46336</v>
      </c>
      <c r="CI1" s="3">
        <v>46337</v>
      </c>
      <c r="CJ1" s="3">
        <v>46338</v>
      </c>
      <c r="CK1" s="3">
        <v>46339</v>
      </c>
      <c r="CL1" s="3">
        <v>46340</v>
      </c>
      <c r="CM1" s="3">
        <v>46341</v>
      </c>
      <c r="CN1" s="3">
        <v>46342</v>
      </c>
      <c r="CO1" s="3">
        <v>46343</v>
      </c>
      <c r="CP1" s="3">
        <v>46344</v>
      </c>
      <c r="CQ1" s="3">
        <v>46345</v>
      </c>
      <c r="CR1" s="3">
        <v>46346</v>
      </c>
      <c r="CS1" s="3">
        <v>46347</v>
      </c>
      <c r="CT1" s="3">
        <v>46348</v>
      </c>
      <c r="CU1" s="3">
        <v>46349</v>
      </c>
      <c r="CV1" s="3">
        <v>46350</v>
      </c>
      <c r="CW1" s="3">
        <v>46351</v>
      </c>
      <c r="CX1" s="3">
        <v>46352</v>
      </c>
      <c r="CY1" s="3">
        <v>46353</v>
      </c>
      <c r="CZ1" s="3">
        <v>46354</v>
      </c>
      <c r="DA1" s="3">
        <v>46355</v>
      </c>
      <c r="DB1" s="3">
        <v>46356</v>
      </c>
      <c r="DC1" s="3" t="s">
        <v>8</v>
      </c>
      <c r="DD1" s="3">
        <v>46357</v>
      </c>
      <c r="DE1" s="3">
        <v>46358</v>
      </c>
      <c r="DF1" s="3">
        <v>46359</v>
      </c>
      <c r="DG1" s="3">
        <v>46360</v>
      </c>
      <c r="DH1" s="3">
        <v>46361</v>
      </c>
      <c r="DI1" s="3">
        <v>46362</v>
      </c>
      <c r="DJ1" s="3">
        <v>46363</v>
      </c>
      <c r="DK1" s="3">
        <v>46364</v>
      </c>
      <c r="DL1" s="3">
        <v>46365</v>
      </c>
      <c r="DM1" s="3">
        <v>46366</v>
      </c>
      <c r="DN1" s="3">
        <v>46367</v>
      </c>
      <c r="DO1" s="3">
        <v>46368</v>
      </c>
      <c r="DP1" s="3">
        <v>46369</v>
      </c>
      <c r="DQ1" s="3">
        <v>46370</v>
      </c>
      <c r="DR1" s="3">
        <v>46371</v>
      </c>
      <c r="DS1" s="3">
        <v>46372</v>
      </c>
      <c r="DT1" s="3">
        <v>46373</v>
      </c>
      <c r="DU1" s="3">
        <v>46374</v>
      </c>
      <c r="DV1" s="3">
        <v>46375</v>
      </c>
      <c r="DW1" s="3">
        <v>46376</v>
      </c>
      <c r="DX1" s="3">
        <v>46377</v>
      </c>
      <c r="DY1" s="3">
        <v>46378</v>
      </c>
      <c r="DZ1" s="3">
        <v>46379</v>
      </c>
      <c r="EA1" s="3">
        <v>46380</v>
      </c>
      <c r="EB1" s="3">
        <v>46381</v>
      </c>
      <c r="EC1" s="3">
        <v>46382</v>
      </c>
      <c r="ED1" s="3">
        <v>46383</v>
      </c>
      <c r="EE1" s="3">
        <v>46384</v>
      </c>
      <c r="EF1" s="3">
        <v>46385</v>
      </c>
      <c r="EG1" s="3">
        <v>46386</v>
      </c>
      <c r="EH1" s="3">
        <v>46387</v>
      </c>
      <c r="EI1" s="4" t="s">
        <v>9</v>
      </c>
      <c r="EJ1" t="s">
        <v>10</v>
      </c>
    </row>
    <row r="2" ht="88.200000000000003" customHeight="1">
      <c r="A2" s="5" t="s">
        <v>39</v>
      </c>
      <c r="B2" s="2" t="s">
        <v>12</v>
      </c>
      <c r="C2" s="6"/>
      <c r="D2" s="1"/>
      <c r="E2" s="1"/>
      <c r="AH2" s="7">
        <f t="shared" ref="AH2:AH9" si="134">SUM(C2:AG2)</f>
        <v>0</v>
      </c>
      <c r="AI2" s="11"/>
      <c r="AJ2" s="11">
        <v>1</v>
      </c>
      <c r="AK2" s="11">
        <v>24.199999999999999</v>
      </c>
      <c r="AL2" s="11">
        <v>14.109999999999999</v>
      </c>
      <c r="AO2" s="54">
        <f>12.25+14.16</f>
        <v>26.41</v>
      </c>
      <c r="AP2" s="11">
        <v>21.440000000000001</v>
      </c>
      <c r="AQ2" s="11"/>
      <c r="AR2" s="55">
        <f>SUM(AI2:AQ2)</f>
        <v>87.159999999999997</v>
      </c>
      <c r="AS2" s="11">
        <v>12.02</v>
      </c>
      <c r="AT2" s="11">
        <v>9.0399999999999991</v>
      </c>
      <c r="AU2" s="11"/>
      <c r="AV2" s="11"/>
      <c r="AW2" s="11">
        <f>10.76+12.87</f>
        <v>23.629999999999999</v>
      </c>
      <c r="AX2" s="11"/>
      <c r="AY2" s="11"/>
      <c r="AZ2" s="11"/>
      <c r="BA2" s="11"/>
      <c r="BX2" s="1">
        <f>SUM(AS2:BW2)</f>
        <v>44.689999999999998</v>
      </c>
      <c r="DC2" s="1">
        <f>SUM(BY2:DB2)</f>
        <v>0</v>
      </c>
      <c r="EI2" s="1">
        <f>SUM(DD2:EH2)</f>
        <v>0</v>
      </c>
    </row>
    <row r="3" ht="32.399999999999999" customHeight="1">
      <c r="A3" s="5" t="s">
        <v>15</v>
      </c>
      <c r="B3" s="2" t="s">
        <v>16</v>
      </c>
      <c r="AH3" s="7">
        <f t="shared" si="134"/>
        <v>0</v>
      </c>
      <c r="AR3" s="1">
        <f>SUM(AI3:AQ3)</f>
        <v>0</v>
      </c>
      <c r="BX3" s="1">
        <f>SUM(AS3:BW3)</f>
        <v>0</v>
      </c>
      <c r="DC3" s="1">
        <f>SUM(BY3:DB3)</f>
        <v>0</v>
      </c>
      <c r="EI3" s="1">
        <f>SUM(DD3:EH3)</f>
        <v>0</v>
      </c>
    </row>
    <row r="4" ht="32.399999999999999" customHeight="1">
      <c r="A4" s="5" t="s">
        <v>17</v>
      </c>
      <c r="B4" s="2" t="s">
        <v>16</v>
      </c>
      <c r="AH4" s="7">
        <f t="shared" si="134"/>
        <v>0</v>
      </c>
      <c r="AR4" s="1">
        <f>SUM(AI4:AQ4)</f>
        <v>0</v>
      </c>
      <c r="BX4" s="1">
        <f>SUM(AS4:BW4)</f>
        <v>0</v>
      </c>
      <c r="DC4" s="1">
        <f>SUM(BY4:DB4)</f>
        <v>0</v>
      </c>
      <c r="EI4" s="1">
        <f>SUM(DD4:EH4)</f>
        <v>0</v>
      </c>
    </row>
    <row r="5" ht="32.399999999999999" customHeight="1">
      <c r="A5" s="5" t="s">
        <v>18</v>
      </c>
      <c r="B5" s="2" t="s">
        <v>16</v>
      </c>
      <c r="AH5" s="7">
        <f t="shared" si="134"/>
        <v>0</v>
      </c>
      <c r="AR5" s="1">
        <f>SUM(AI5:AQ5)</f>
        <v>0</v>
      </c>
      <c r="BX5" s="1">
        <f>SUM(AS5:BW5)</f>
        <v>0</v>
      </c>
      <c r="DC5" s="1">
        <f>SUM(BY5:DB5)</f>
        <v>0</v>
      </c>
      <c r="EI5" s="1">
        <f>SUM(DD5:EH5)</f>
        <v>0</v>
      </c>
    </row>
    <row r="6" ht="32.399999999999999" customHeight="1">
      <c r="A6" s="5" t="s">
        <v>19</v>
      </c>
      <c r="B6" s="2" t="s">
        <v>16</v>
      </c>
      <c r="AH6" s="7">
        <f t="shared" si="134"/>
        <v>0</v>
      </c>
      <c r="AR6" s="1">
        <f>SUM(AI6:AQ6)</f>
        <v>0</v>
      </c>
      <c r="BX6" s="1">
        <f>SUM(AS6:BW6)</f>
        <v>0</v>
      </c>
      <c r="DC6" s="1">
        <f>SUM(BY6:DB6)</f>
        <v>0</v>
      </c>
      <c r="EI6" s="1">
        <f>SUM(DD6:EH6)</f>
        <v>0</v>
      </c>
    </row>
    <row r="7" ht="32.399999999999999" customHeight="1">
      <c r="A7" s="5" t="s">
        <v>20</v>
      </c>
      <c r="B7" s="2" t="s">
        <v>16</v>
      </c>
      <c r="AH7" s="7">
        <f t="shared" si="134"/>
        <v>0</v>
      </c>
      <c r="AR7" s="1">
        <f>SUM(AI7:AQ7)</f>
        <v>0</v>
      </c>
      <c r="BX7" s="1">
        <f>SUM(AS7:BW7)</f>
        <v>0</v>
      </c>
      <c r="DC7" s="1">
        <f>SUM(BY7:DB7)</f>
        <v>0</v>
      </c>
      <c r="EI7" s="1">
        <f>SUM(DD7:EH7)</f>
        <v>0</v>
      </c>
    </row>
    <row r="8" ht="32.399999999999999" customHeight="1">
      <c r="A8" s="5" t="s">
        <v>21</v>
      </c>
      <c r="B8" s="2" t="s">
        <v>22</v>
      </c>
      <c r="AH8" s="7">
        <f t="shared" si="134"/>
        <v>0</v>
      </c>
      <c r="AR8" s="1">
        <f>SUM(AI8:AQ8)</f>
        <v>0</v>
      </c>
      <c r="BX8" s="1">
        <f>SUM(AS8:BW8)</f>
        <v>0</v>
      </c>
      <c r="DC8" s="1">
        <f>SUM(BY8:DB8)</f>
        <v>0</v>
      </c>
      <c r="EI8" s="1">
        <f>SUM(DD8:EH8)</f>
        <v>0</v>
      </c>
    </row>
    <row r="9" ht="32.399999999999999" customHeight="1">
      <c r="A9" s="5" t="s">
        <v>23</v>
      </c>
      <c r="B9" s="2" t="s">
        <v>16</v>
      </c>
      <c r="AH9" s="7">
        <f t="shared" si="134"/>
        <v>0</v>
      </c>
      <c r="AK9">
        <v>5</v>
      </c>
      <c r="AL9">
        <v>5</v>
      </c>
      <c r="AO9">
        <v>10</v>
      </c>
      <c r="AP9">
        <v>5</v>
      </c>
      <c r="AR9" s="1">
        <f>SUM(AI9:AQ9)</f>
        <v>25</v>
      </c>
      <c r="AS9">
        <v>5</v>
      </c>
      <c r="AT9">
        <v>5</v>
      </c>
      <c r="AW9">
        <v>11</v>
      </c>
      <c r="BX9" s="1">
        <f>SUM(AS9:BW9)</f>
        <v>21</v>
      </c>
      <c r="DC9" s="1">
        <f>SUM(BY9:DB9)</f>
        <v>0</v>
      </c>
      <c r="EI9" s="1">
        <f>SUM(DD9:EH9)</f>
        <v>0</v>
      </c>
    </row>
    <row r="10" ht="32.399999999999999" customHeight="1">
      <c r="A10" s="5" t="s">
        <v>24</v>
      </c>
      <c r="B10" s="2" t="s">
        <v>16</v>
      </c>
      <c r="AH10" s="7">
        <f t="shared" ref="AH10:AH24" si="135">SUM(C10:AG10)</f>
        <v>0</v>
      </c>
      <c r="AJ10">
        <v>3</v>
      </c>
      <c r="AK10">
        <v>3</v>
      </c>
      <c r="AL10">
        <v>3</v>
      </c>
      <c r="AO10">
        <v>6</v>
      </c>
      <c r="AP10">
        <v>3</v>
      </c>
      <c r="AR10" s="1">
        <f>SUM(AI10:AQ10)</f>
        <v>18</v>
      </c>
      <c r="AS10">
        <v>3</v>
      </c>
      <c r="AT10">
        <v>3</v>
      </c>
      <c r="AW10">
        <v>5</v>
      </c>
      <c r="BX10" s="1">
        <f>SUM(AS10:BW10)</f>
        <v>11</v>
      </c>
      <c r="DC10" s="1">
        <f>SUM(BY10:DB10)</f>
        <v>0</v>
      </c>
      <c r="EI10" s="1">
        <f>SUM(DD10:EH10)</f>
        <v>0</v>
      </c>
    </row>
    <row r="11" ht="32.399999999999999" customHeight="1">
      <c r="A11" s="5" t="s">
        <v>25</v>
      </c>
      <c r="B11" s="2" t="s">
        <v>16</v>
      </c>
      <c r="AH11" s="7">
        <f t="shared" si="135"/>
        <v>0</v>
      </c>
      <c r="AR11" s="1">
        <f>SUM(AI11:AQ11)</f>
        <v>0</v>
      </c>
      <c r="BX11" s="1">
        <f>SUM(AS11:BW11)</f>
        <v>0</v>
      </c>
      <c r="DC11" s="1">
        <f>SUM(BY11:DB11)</f>
        <v>0</v>
      </c>
      <c r="EI11" s="1">
        <f>SUM(DD11:EH11)</f>
        <v>0</v>
      </c>
    </row>
    <row r="12" ht="32.399999999999999" customHeight="1">
      <c r="A12" s="5" t="s">
        <v>26</v>
      </c>
      <c r="B12" s="2" t="s">
        <v>16</v>
      </c>
      <c r="AH12" s="7">
        <f t="shared" si="135"/>
        <v>0</v>
      </c>
      <c r="AJ12" t="s">
        <v>135</v>
      </c>
      <c r="AK12" t="s">
        <v>135</v>
      </c>
      <c r="AL12" t="s">
        <v>135</v>
      </c>
      <c r="AO12" t="s">
        <v>135</v>
      </c>
      <c r="AP12" t="s">
        <v>135</v>
      </c>
      <c r="AR12" s="1">
        <f>SUM(AI12:AQ12)</f>
        <v>0</v>
      </c>
      <c r="BX12" s="1">
        <f>SUM(AS12:BW12)</f>
        <v>0</v>
      </c>
      <c r="DC12" s="1">
        <f>SUM(BY12:DB12)</f>
        <v>0</v>
      </c>
      <c r="EI12" s="1">
        <f>SUM(DD12:EH12)</f>
        <v>0</v>
      </c>
    </row>
    <row r="13" ht="32.399999999999999" customHeight="1">
      <c r="A13" s="5" t="s">
        <v>27</v>
      </c>
      <c r="B13" s="2" t="s">
        <v>16</v>
      </c>
      <c r="AH13" s="7">
        <f t="shared" si="135"/>
        <v>0</v>
      </c>
      <c r="AR13" s="1">
        <f>SUM(AI13:AQ13)</f>
        <v>0</v>
      </c>
      <c r="BX13" s="1">
        <f>SUM(AS13:BW13)</f>
        <v>0</v>
      </c>
      <c r="DC13" s="1">
        <f>SUM(BY13:DB13)</f>
        <v>0</v>
      </c>
      <c r="EI13" s="1">
        <f>SUM(DD13:EH13)</f>
        <v>0</v>
      </c>
    </row>
    <row r="14" ht="32.399999999999999" customHeight="1">
      <c r="A14" s="5" t="s">
        <v>28</v>
      </c>
      <c r="B14" s="2" t="s">
        <v>16</v>
      </c>
      <c r="AH14" s="7">
        <f t="shared" si="135"/>
        <v>0</v>
      </c>
      <c r="AR14" s="1">
        <f>SUM(AI14:AQ14)</f>
        <v>0</v>
      </c>
      <c r="BX14" s="1">
        <f>SUM(AS14:BW14)</f>
        <v>0</v>
      </c>
      <c r="DC14" s="1">
        <f>SUM(BY14:DB14)</f>
        <v>0</v>
      </c>
      <c r="EI14" s="1">
        <f>SUM(DD14:EH14)</f>
        <v>0</v>
      </c>
    </row>
    <row r="15" ht="32.399999999999999" customHeight="1">
      <c r="A15" s="5" t="s">
        <v>29</v>
      </c>
      <c r="B15" s="2" t="s">
        <v>16</v>
      </c>
      <c r="AH15" s="7">
        <f t="shared" si="135"/>
        <v>0</v>
      </c>
      <c r="AQ15">
        <v>25</v>
      </c>
      <c r="AR15" s="1">
        <f>SUM(AI15:AQ15)</f>
        <v>25</v>
      </c>
      <c r="AS15">
        <v>12</v>
      </c>
      <c r="AT15">
        <v>9</v>
      </c>
      <c r="AW15">
        <v>3</v>
      </c>
      <c r="BX15" s="1">
        <f>SUM(AS15:BW15)</f>
        <v>24</v>
      </c>
      <c r="DC15" s="1">
        <f>SUM(BY15:DB15)</f>
        <v>0</v>
      </c>
      <c r="EI15" s="1">
        <f>SUM(DD15:EH15)</f>
        <v>0</v>
      </c>
    </row>
    <row r="16" ht="32.399999999999999" customHeight="1">
      <c r="A16" s="5" t="s">
        <v>30</v>
      </c>
      <c r="B16" s="2" t="s">
        <v>22</v>
      </c>
      <c r="AH16" s="7">
        <f t="shared" si="135"/>
        <v>0</v>
      </c>
      <c r="AR16" s="1">
        <f>SUM(AI16:AQ16)</f>
        <v>0</v>
      </c>
      <c r="BX16" s="1">
        <f>SUM(AS16:BW16)</f>
        <v>0</v>
      </c>
      <c r="DC16" s="1">
        <f>SUM(BY16:DB16)</f>
        <v>0</v>
      </c>
      <c r="EI16" s="1">
        <f>SUM(DD16:EH16)</f>
        <v>0</v>
      </c>
    </row>
    <row r="17" ht="32.399999999999999" customHeight="1">
      <c r="A17" s="5" t="s">
        <v>31</v>
      </c>
      <c r="B17" s="2" t="s">
        <v>16</v>
      </c>
      <c r="E17">
        <v>539.42999999999995</v>
      </c>
      <c r="AH17" s="7">
        <f t="shared" si="135"/>
        <v>539.42999999999995</v>
      </c>
      <c r="AR17" s="1">
        <f>SUM(AI17:AQ17)</f>
        <v>0</v>
      </c>
      <c r="BX17" s="1">
        <f>SUM(AS17:BW17)</f>
        <v>0</v>
      </c>
      <c r="DC17" s="1">
        <f>SUM(BY17:DB17)</f>
        <v>0</v>
      </c>
      <c r="EI17" s="1">
        <f>SUM(DD17:EH17)</f>
        <v>0</v>
      </c>
    </row>
    <row r="18" ht="32.399999999999999" customHeight="1">
      <c r="A18" s="5" t="s">
        <v>32</v>
      </c>
      <c r="B18" s="2" t="s">
        <v>16</v>
      </c>
      <c r="C18" s="46">
        <v>153</v>
      </c>
      <c r="AH18" s="7">
        <f t="shared" si="135"/>
        <v>153</v>
      </c>
      <c r="AR18" s="1">
        <f>SUM(AI18:AQ18)</f>
        <v>0</v>
      </c>
      <c r="BX18" s="1">
        <f>SUM(AS18:BW18)</f>
        <v>0</v>
      </c>
      <c r="DC18" s="1">
        <f>SUM(BY18:DB18)</f>
        <v>0</v>
      </c>
      <c r="EI18" s="1">
        <f>SUM(DD18:EH18)</f>
        <v>0</v>
      </c>
    </row>
    <row r="19" ht="32.399999999999999" customHeight="1">
      <c r="A19" s="5" t="s">
        <v>33</v>
      </c>
      <c r="B19" s="2" t="s">
        <v>16</v>
      </c>
      <c r="C19" s="47">
        <v>2</v>
      </c>
      <c r="AH19" s="7">
        <f t="shared" si="135"/>
        <v>2</v>
      </c>
      <c r="AR19" s="1">
        <f>SUM(AI19:AQ19)</f>
        <v>0</v>
      </c>
      <c r="BX19" s="1">
        <f>SUM(AS19:BW19)</f>
        <v>0</v>
      </c>
      <c r="DC19" s="1">
        <f>SUM(BY19:DB19)</f>
        <v>0</v>
      </c>
      <c r="EH19" s="48"/>
      <c r="EI19" s="1">
        <f>SUM(DD19:EH19)</f>
        <v>0</v>
      </c>
    </row>
    <row r="20" ht="32.399999999999999" customHeight="1">
      <c r="A20" s="5" t="s">
        <v>34</v>
      </c>
      <c r="B20" s="2" t="s">
        <v>16</v>
      </c>
      <c r="C20" s="47">
        <v>2</v>
      </c>
      <c r="AH20" s="7">
        <f t="shared" si="135"/>
        <v>2</v>
      </c>
      <c r="AR20" s="1">
        <f>SUM(AI20:AQ20)</f>
        <v>0</v>
      </c>
      <c r="BX20" s="1">
        <f>SUM(AS20:BW20)</f>
        <v>0</v>
      </c>
      <c r="DC20" s="1">
        <f>SUM(BY20:DB20)</f>
        <v>0</v>
      </c>
      <c r="EH20" s="49"/>
      <c r="EI20" s="1">
        <f>SUM(DD20:EH20)</f>
        <v>0</v>
      </c>
    </row>
    <row r="21" ht="32.399999999999999" customHeight="1">
      <c r="A21" s="5" t="s">
        <v>35</v>
      </c>
      <c r="B21" s="2" t="s">
        <v>16</v>
      </c>
      <c r="C21" s="47">
        <v>42</v>
      </c>
      <c r="AH21" s="7">
        <f t="shared" si="135"/>
        <v>42</v>
      </c>
      <c r="AR21" s="1">
        <f>SUM(AI21:AQ21)</f>
        <v>0</v>
      </c>
      <c r="BX21" s="1">
        <f>SUM(AS21:BW21)</f>
        <v>0</v>
      </c>
      <c r="DC21" s="1">
        <f>SUM(BY21:DB21)</f>
        <v>0</v>
      </c>
      <c r="EH21" s="49"/>
      <c r="EI21" s="1">
        <f>SUM(DD21:EH21)</f>
        <v>0</v>
      </c>
    </row>
    <row r="22" ht="32.399999999999999" customHeight="1">
      <c r="A22" s="5" t="s">
        <v>36</v>
      </c>
      <c r="B22" s="2" t="s">
        <v>16</v>
      </c>
      <c r="C22" s="47">
        <f>46+99+213</f>
        <v>358</v>
      </c>
      <c r="AH22" s="7">
        <f t="shared" si="135"/>
        <v>358</v>
      </c>
      <c r="AR22" s="1">
        <f>SUM(AI22:AQ22)</f>
        <v>0</v>
      </c>
      <c r="BX22" s="1">
        <f>SUM(AS22:BW22)</f>
        <v>0</v>
      </c>
      <c r="DC22" s="1">
        <f>SUM(BY22:DB22)</f>
        <v>0</v>
      </c>
      <c r="EH22" s="49"/>
      <c r="EI22" s="1">
        <f>SUM(DD22:EH22)</f>
        <v>0</v>
      </c>
    </row>
    <row r="23" ht="32.399999999999999" customHeight="1">
      <c r="A23" s="5" t="s">
        <v>37</v>
      </c>
      <c r="B23" s="2" t="s">
        <v>16</v>
      </c>
      <c r="C23" s="47">
        <v>45</v>
      </c>
      <c r="AH23" s="7">
        <f t="shared" si="135"/>
        <v>45</v>
      </c>
      <c r="AR23" s="1">
        <f>SUM(AI23:AQ23)</f>
        <v>0</v>
      </c>
      <c r="BX23" s="1">
        <f>SUM(AS23:BW23)</f>
        <v>0</v>
      </c>
      <c r="DC23" s="1">
        <f>SUM(BY23:DB23)</f>
        <v>0</v>
      </c>
      <c r="EH23" s="49"/>
      <c r="EI23" s="1">
        <f>SUM(DD23:EH23)</f>
        <v>0</v>
      </c>
    </row>
    <row r="24" ht="32.399999999999999" customHeight="1">
      <c r="A24" s="5" t="s">
        <v>38</v>
      </c>
      <c r="B24" s="2" t="s">
        <v>16</v>
      </c>
      <c r="C24" s="50">
        <v>893</v>
      </c>
      <c r="AH24" s="7">
        <f t="shared" si="135"/>
        <v>893</v>
      </c>
      <c r="AR24" s="1">
        <f>SUM(AI24:AQ24)</f>
        <v>0</v>
      </c>
      <c r="BX24" s="1">
        <f>SUM(AS24:BW24)</f>
        <v>0</v>
      </c>
      <c r="DC24" s="1">
        <f>SUM(BY24:DB24)</f>
        <v>0</v>
      </c>
      <c r="EI24" s="1">
        <f>SUM(DD24:EH24)</f>
        <v>0</v>
      </c>
    </row>
    <row r="25" ht="42.75"/>
    <row r="32" ht="107.25" customHeight="1">
      <c r="EE32" s="51"/>
      <c r="EL32" s="35"/>
    </row>
    <row r="33" ht="14.25">
      <c r="EE33" s="51"/>
    </row>
    <row r="86" ht="23.850000000000001">
      <c r="B86" s="5"/>
    </row>
    <row r="87" ht="13.800000000000001">
      <c r="B87" s="5"/>
    </row>
    <row r="88" ht="13.800000000000001">
      <c r="B88" s="5"/>
    </row>
    <row r="89" ht="13.800000000000001">
      <c r="B89" s="5"/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&amp;C&amp;12Страница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theme="7" tint="-0.249977111117893"/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pane xSplit="1" ySplit="1" topLeftCell="B2" activePane="bottomRight" state="frozen"/>
      <selection activeCell="E17" activeCellId="0" sqref="E17"/>
    </sheetView>
  </sheetViews>
  <sheetFormatPr defaultColWidth="12.67578125" defaultRowHeight="13.5"/>
  <cols>
    <col customWidth="1" min="1" max="1" style="1" width="42.329999999999998"/>
    <col customWidth="1" min="2" max="2" style="1" width="38.140000000000001"/>
    <col customWidth="1" hidden="1" min="3" max="33" width="0"/>
    <col customWidth="0" hidden="1" min="34" max="34" style="1" width="12.67"/>
    <col customWidth="1" hidden="1" min="65" max="65" style="1" width="0"/>
    <col customWidth="0" hidden="1" min="97" max="97" style="1" width="12.67"/>
    <col customWidth="0" hidden="1" min="129" max="129" style="1" width="12.67"/>
    <col customWidth="0" hidden="1" min="160" max="160" style="1" width="12.67"/>
    <col customWidth="0" hidden="1" min="192" max="192" style="1" width="12.67"/>
    <col customWidth="0" min="223" max="223" style="1" width="12.67"/>
    <col customWidth="1" min="251" max="251" width="42.57421875"/>
    <col customWidth="0" hidden="1" min="255" max="255" style="1" width="12.67"/>
  </cols>
  <sheetData>
    <row r="1" ht="34.200000000000003" customHeight="1">
      <c r="A1" s="2" t="s">
        <v>0</v>
      </c>
      <c r="B1" s="2" t="s">
        <v>1</v>
      </c>
      <c r="C1" s="3">
        <v>46143</v>
      </c>
      <c r="D1" s="3">
        <v>46144</v>
      </c>
      <c r="E1" s="3">
        <v>46145</v>
      </c>
      <c r="F1" s="3">
        <v>46146</v>
      </c>
      <c r="G1" s="3">
        <v>46147</v>
      </c>
      <c r="H1" s="3">
        <v>46148</v>
      </c>
      <c r="I1" s="3">
        <v>46149</v>
      </c>
      <c r="J1" s="3">
        <v>46150</v>
      </c>
      <c r="K1" s="3">
        <v>46151</v>
      </c>
      <c r="L1" s="3">
        <v>46152</v>
      </c>
      <c r="M1" s="3">
        <v>46153</v>
      </c>
      <c r="N1" s="3">
        <v>46154</v>
      </c>
      <c r="O1" s="3">
        <v>46155</v>
      </c>
      <c r="P1" s="3">
        <v>46156</v>
      </c>
      <c r="Q1" s="3">
        <v>46157</v>
      </c>
      <c r="R1" s="3">
        <v>46158</v>
      </c>
      <c r="S1" s="3">
        <v>46159</v>
      </c>
      <c r="T1" s="3">
        <v>46160</v>
      </c>
      <c r="U1" s="3">
        <v>46161</v>
      </c>
      <c r="V1" s="3">
        <v>46162</v>
      </c>
      <c r="W1" s="3">
        <v>46163</v>
      </c>
      <c r="X1" s="3">
        <v>46164</v>
      </c>
      <c r="Y1" s="3">
        <v>46165</v>
      </c>
      <c r="Z1" s="3">
        <v>46166</v>
      </c>
      <c r="AA1" s="3">
        <v>46167</v>
      </c>
      <c r="AB1" s="3">
        <v>46168</v>
      </c>
      <c r="AC1" s="3">
        <v>46169</v>
      </c>
      <c r="AD1" s="3">
        <v>46170</v>
      </c>
      <c r="AE1" s="3">
        <v>46171</v>
      </c>
      <c r="AF1" s="3">
        <v>46172</v>
      </c>
      <c r="AG1" s="3">
        <v>46173</v>
      </c>
      <c r="AH1" s="3" t="s">
        <v>2</v>
      </c>
      <c r="AI1" s="3">
        <v>46174</v>
      </c>
      <c r="AJ1" s="3">
        <v>46175</v>
      </c>
      <c r="AK1" s="3">
        <v>46176</v>
      </c>
      <c r="AL1" s="3">
        <v>46177</v>
      </c>
      <c r="AM1" s="3">
        <v>46178</v>
      </c>
      <c r="AN1" s="3">
        <v>46179</v>
      </c>
      <c r="AO1" s="3">
        <v>46180</v>
      </c>
      <c r="AP1" s="3">
        <v>46181</v>
      </c>
      <c r="AQ1" s="3">
        <v>46182</v>
      </c>
      <c r="AR1" s="3">
        <v>46183</v>
      </c>
      <c r="AS1" s="3">
        <v>46184</v>
      </c>
      <c r="AT1" s="3">
        <v>46185</v>
      </c>
      <c r="AU1" s="3">
        <v>46186</v>
      </c>
      <c r="AV1" s="3">
        <v>46187</v>
      </c>
      <c r="AW1" s="3">
        <v>46188</v>
      </c>
      <c r="AX1" s="3">
        <v>46189</v>
      </c>
      <c r="AY1" s="3">
        <v>46190</v>
      </c>
      <c r="AZ1" s="3">
        <v>46191</v>
      </c>
      <c r="BA1" s="3">
        <v>46192</v>
      </c>
      <c r="BB1" s="3">
        <v>46193</v>
      </c>
      <c r="BC1" s="3">
        <v>46194</v>
      </c>
      <c r="BD1" s="3">
        <v>46195</v>
      </c>
      <c r="BE1" s="3">
        <v>46196</v>
      </c>
      <c r="BF1" s="3">
        <v>46197</v>
      </c>
      <c r="BG1" s="3">
        <v>46198</v>
      </c>
      <c r="BH1" s="3">
        <v>46199</v>
      </c>
      <c r="BI1" s="3">
        <v>46200</v>
      </c>
      <c r="BJ1" s="3">
        <v>46201</v>
      </c>
      <c r="BK1" s="3">
        <v>46202</v>
      </c>
      <c r="BL1" s="3">
        <v>46203</v>
      </c>
      <c r="BM1" s="3" t="s">
        <v>3</v>
      </c>
      <c r="BN1" s="3">
        <v>46204</v>
      </c>
      <c r="BO1" s="3">
        <v>46205</v>
      </c>
      <c r="BP1" s="3">
        <v>46206</v>
      </c>
      <c r="BQ1" s="3">
        <v>46207</v>
      </c>
      <c r="BR1" s="3">
        <v>46208</v>
      </c>
      <c r="BS1" s="3">
        <v>46209</v>
      </c>
      <c r="BT1" s="3">
        <v>46210</v>
      </c>
      <c r="BU1" s="3">
        <v>46211</v>
      </c>
      <c r="BV1" s="3">
        <v>46212</v>
      </c>
      <c r="BW1" s="3">
        <v>46213</v>
      </c>
      <c r="BX1" s="3">
        <v>46214</v>
      </c>
      <c r="BY1" s="3">
        <v>46215</v>
      </c>
      <c r="BZ1" s="3">
        <v>46216</v>
      </c>
      <c r="CA1" s="3">
        <v>46217</v>
      </c>
      <c r="CB1" s="3">
        <v>46218</v>
      </c>
      <c r="CC1" s="3">
        <v>46219</v>
      </c>
      <c r="CD1" s="3">
        <v>46220</v>
      </c>
      <c r="CE1" s="3">
        <v>46221</v>
      </c>
      <c r="CF1" s="3">
        <v>46222</v>
      </c>
      <c r="CG1" s="3">
        <v>46223</v>
      </c>
      <c r="CH1" s="3">
        <v>46224</v>
      </c>
      <c r="CI1" s="3">
        <v>46225</v>
      </c>
      <c r="CJ1" s="3">
        <v>46226</v>
      </c>
      <c r="CK1" s="3">
        <v>46227</v>
      </c>
      <c r="CL1" s="3">
        <v>46228</v>
      </c>
      <c r="CM1" s="3">
        <v>46229</v>
      </c>
      <c r="CN1" s="3">
        <v>46230</v>
      </c>
      <c r="CO1" s="3">
        <v>46231</v>
      </c>
      <c r="CP1" s="3">
        <v>46232</v>
      </c>
      <c r="CQ1" s="3">
        <v>46233</v>
      </c>
      <c r="CR1" s="3">
        <v>46234</v>
      </c>
      <c r="CS1" s="3" t="s">
        <v>4</v>
      </c>
      <c r="CT1" s="3">
        <v>46235</v>
      </c>
      <c r="CU1" s="3">
        <v>46236</v>
      </c>
      <c r="CV1" s="3">
        <v>46237</v>
      </c>
      <c r="CW1" s="3">
        <v>46238</v>
      </c>
      <c r="CX1" s="3">
        <v>46239</v>
      </c>
      <c r="CY1" s="3">
        <v>46240</v>
      </c>
      <c r="CZ1" s="3">
        <v>46241</v>
      </c>
      <c r="DA1" s="3">
        <v>46242</v>
      </c>
      <c r="DB1" s="3">
        <v>46243</v>
      </c>
      <c r="DC1" s="3">
        <v>46244</v>
      </c>
      <c r="DD1" s="3">
        <v>46245</v>
      </c>
      <c r="DE1" s="3">
        <v>46246</v>
      </c>
      <c r="DF1" s="3">
        <v>46247</v>
      </c>
      <c r="DG1" s="3">
        <v>46248</v>
      </c>
      <c r="DH1" s="3">
        <v>46249</v>
      </c>
      <c r="DI1" s="3">
        <v>46250</v>
      </c>
      <c r="DJ1" s="3">
        <v>46251</v>
      </c>
      <c r="DK1" s="3">
        <v>46252</v>
      </c>
      <c r="DL1" s="3">
        <v>46253</v>
      </c>
      <c r="DM1" s="3">
        <v>46254</v>
      </c>
      <c r="DN1" s="3">
        <v>46255</v>
      </c>
      <c r="DO1" s="3">
        <v>46256</v>
      </c>
      <c r="DP1" s="3">
        <v>46257</v>
      </c>
      <c r="DQ1" s="3">
        <v>46258</v>
      </c>
      <c r="DR1" s="3">
        <v>46259</v>
      </c>
      <c r="DS1" s="3">
        <v>46260</v>
      </c>
      <c r="DT1" s="3">
        <v>46261</v>
      </c>
      <c r="DU1" s="3">
        <v>46262</v>
      </c>
      <c r="DV1" s="3">
        <v>46263</v>
      </c>
      <c r="DW1" s="3">
        <v>46264</v>
      </c>
      <c r="DX1" s="3">
        <v>46265</v>
      </c>
      <c r="DY1" s="3" t="s">
        <v>5</v>
      </c>
      <c r="DZ1" s="3">
        <v>46266</v>
      </c>
      <c r="EA1" s="3">
        <v>46267</v>
      </c>
      <c r="EB1" s="3">
        <v>46268</v>
      </c>
      <c r="EC1" s="3">
        <v>46269</v>
      </c>
      <c r="ED1" s="3">
        <v>46270</v>
      </c>
      <c r="EE1" s="3">
        <v>46271</v>
      </c>
      <c r="EF1" s="3">
        <v>46272</v>
      </c>
      <c r="EG1" s="3">
        <v>46273</v>
      </c>
      <c r="EH1" s="3">
        <v>46274</v>
      </c>
      <c r="EI1" s="3">
        <v>46275</v>
      </c>
      <c r="EJ1" s="3">
        <v>46276</v>
      </c>
      <c r="EK1" s="3">
        <v>46277</v>
      </c>
      <c r="EL1" s="3">
        <v>46278</v>
      </c>
      <c r="EM1" s="3">
        <v>46279</v>
      </c>
      <c r="EN1" s="3">
        <v>46280</v>
      </c>
      <c r="EO1" s="3">
        <v>46281</v>
      </c>
      <c r="EP1" s="3">
        <v>46282</v>
      </c>
      <c r="EQ1" s="3">
        <v>46283</v>
      </c>
      <c r="ER1" s="3">
        <v>46284</v>
      </c>
      <c r="ES1" s="3">
        <v>46285</v>
      </c>
      <c r="ET1" s="3">
        <v>46286</v>
      </c>
      <c r="EU1" s="3">
        <v>46287</v>
      </c>
      <c r="EV1" s="3">
        <v>46288</v>
      </c>
      <c r="EW1" s="3">
        <v>46289</v>
      </c>
      <c r="EX1" s="3">
        <v>46290</v>
      </c>
      <c r="EY1" s="3">
        <v>46291</v>
      </c>
      <c r="EZ1" s="3">
        <v>46292</v>
      </c>
      <c r="FA1" s="3">
        <v>46293</v>
      </c>
      <c r="FB1" s="3">
        <v>46294</v>
      </c>
      <c r="FC1" s="3">
        <v>46295</v>
      </c>
      <c r="FD1" s="3" t="s">
        <v>6</v>
      </c>
      <c r="FE1" s="3">
        <v>46296</v>
      </c>
      <c r="FF1" s="3">
        <v>46297</v>
      </c>
      <c r="FG1" s="3">
        <v>46298</v>
      </c>
      <c r="FH1" s="3">
        <v>46299</v>
      </c>
      <c r="FI1" s="3">
        <v>46300</v>
      </c>
      <c r="FJ1" s="3">
        <v>46301</v>
      </c>
      <c r="FK1" s="3">
        <v>46302</v>
      </c>
      <c r="FL1" s="3">
        <v>46303</v>
      </c>
      <c r="FM1" s="3">
        <v>46304</v>
      </c>
      <c r="FN1" s="3">
        <v>46305</v>
      </c>
      <c r="FO1" s="3">
        <v>46306</v>
      </c>
      <c r="FP1" s="3">
        <v>46307</v>
      </c>
      <c r="FQ1" s="3">
        <v>46308</v>
      </c>
      <c r="FR1" s="3">
        <v>46309</v>
      </c>
      <c r="FS1" s="3">
        <v>46310</v>
      </c>
      <c r="FT1" s="3">
        <v>46311</v>
      </c>
      <c r="FU1" s="3">
        <v>46312</v>
      </c>
      <c r="FV1" s="3">
        <v>46313</v>
      </c>
      <c r="FW1" s="3">
        <v>46314</v>
      </c>
      <c r="FX1" s="3">
        <v>46315</v>
      </c>
      <c r="FY1" s="3">
        <v>46316</v>
      </c>
      <c r="FZ1" s="3">
        <v>46317</v>
      </c>
      <c r="GA1" s="3">
        <v>46318</v>
      </c>
      <c r="GB1" s="3">
        <v>46319</v>
      </c>
      <c r="GC1" s="3">
        <v>46320</v>
      </c>
      <c r="GD1" s="3">
        <v>46321</v>
      </c>
      <c r="GE1" s="3">
        <v>46322</v>
      </c>
      <c r="GF1" s="3">
        <v>46323</v>
      </c>
      <c r="GG1" s="3">
        <v>46324</v>
      </c>
      <c r="GH1" s="3">
        <v>46325</v>
      </c>
      <c r="GI1" s="3">
        <v>46326</v>
      </c>
      <c r="GJ1" s="3" t="s">
        <v>7</v>
      </c>
      <c r="GK1" s="3">
        <v>46327</v>
      </c>
      <c r="GL1" s="3">
        <v>46328</v>
      </c>
      <c r="GM1" s="3">
        <v>46329</v>
      </c>
      <c r="GN1" s="3">
        <v>46330</v>
      </c>
      <c r="GO1" s="3">
        <v>46331</v>
      </c>
      <c r="GP1" s="3">
        <v>46332</v>
      </c>
      <c r="GQ1" s="3">
        <v>46333</v>
      </c>
      <c r="GR1" s="3">
        <v>46334</v>
      </c>
      <c r="GS1" s="3">
        <v>46335</v>
      </c>
      <c r="GT1" s="3">
        <v>46336</v>
      </c>
      <c r="GU1" s="3">
        <v>46337</v>
      </c>
      <c r="GV1" s="3">
        <v>46338</v>
      </c>
      <c r="GW1" s="3">
        <v>46339</v>
      </c>
      <c r="GX1" s="3">
        <v>46340</v>
      </c>
      <c r="GY1" s="3">
        <v>46341</v>
      </c>
      <c r="GZ1" s="3">
        <v>46342</v>
      </c>
      <c r="HA1" s="3">
        <v>46343</v>
      </c>
      <c r="HB1" s="3">
        <v>46344</v>
      </c>
      <c r="HC1" s="3">
        <v>46345</v>
      </c>
      <c r="HD1" s="3">
        <v>46346</v>
      </c>
      <c r="HE1" s="3">
        <v>46347</v>
      </c>
      <c r="HF1" s="3">
        <v>46348</v>
      </c>
      <c r="HG1" s="3">
        <v>46349</v>
      </c>
      <c r="HH1" s="3">
        <v>46350</v>
      </c>
      <c r="HI1" s="3">
        <v>46351</v>
      </c>
      <c r="HJ1" s="3">
        <v>46352</v>
      </c>
      <c r="HK1" s="3">
        <v>46353</v>
      </c>
      <c r="HL1" s="3">
        <v>46354</v>
      </c>
      <c r="HM1" s="3">
        <v>46355</v>
      </c>
      <c r="HN1" s="3">
        <v>46356</v>
      </c>
      <c r="HO1" s="3" t="s">
        <v>8</v>
      </c>
      <c r="HP1" s="3">
        <v>46357</v>
      </c>
      <c r="HQ1" s="3">
        <v>46358</v>
      </c>
      <c r="HR1" s="3">
        <v>46359</v>
      </c>
      <c r="HS1" s="3">
        <v>46360</v>
      </c>
      <c r="HT1" s="3">
        <v>46361</v>
      </c>
      <c r="HU1" s="3">
        <v>46362</v>
      </c>
      <c r="HV1" s="3">
        <v>46363</v>
      </c>
      <c r="HW1" s="3">
        <v>46364</v>
      </c>
      <c r="HX1" s="3">
        <v>46365</v>
      </c>
      <c r="HY1" s="3">
        <v>46366</v>
      </c>
      <c r="HZ1" s="3">
        <v>46367</v>
      </c>
      <c r="IA1" s="3">
        <v>46368</v>
      </c>
      <c r="IB1" s="3">
        <v>46369</v>
      </c>
      <c r="IC1" s="3">
        <v>46370</v>
      </c>
      <c r="ID1" s="3">
        <v>46371</v>
      </c>
      <c r="IE1" s="3">
        <v>46372</v>
      </c>
      <c r="IF1" s="3">
        <v>46373</v>
      </c>
      <c r="IG1" s="3">
        <v>46374</v>
      </c>
      <c r="IH1" s="3">
        <v>46375</v>
      </c>
      <c r="II1" s="3">
        <v>46376</v>
      </c>
      <c r="IJ1" s="3">
        <v>46377</v>
      </c>
      <c r="IK1" s="3">
        <v>46378</v>
      </c>
      <c r="IL1" s="3">
        <v>46379</v>
      </c>
      <c r="IM1" s="3">
        <v>46380</v>
      </c>
      <c r="IN1" s="3">
        <v>46381</v>
      </c>
      <c r="IO1" s="3">
        <v>46382</v>
      </c>
      <c r="IP1" s="3">
        <v>46383</v>
      </c>
      <c r="IQ1" s="3">
        <v>46384</v>
      </c>
      <c r="IR1" s="3">
        <v>46385</v>
      </c>
      <c r="IS1" s="3">
        <v>46386</v>
      </c>
      <c r="IT1" s="3">
        <v>46387</v>
      </c>
      <c r="IU1" s="4" t="s">
        <v>9</v>
      </c>
      <c r="IV1" t="s">
        <v>10</v>
      </c>
    </row>
    <row r="2" ht="88.200000000000003" customHeight="1">
      <c r="A2" s="5" t="s">
        <v>39</v>
      </c>
      <c r="B2" s="2" t="s">
        <v>12</v>
      </c>
      <c r="C2" s="6"/>
      <c r="D2" s="1"/>
      <c r="E2" s="1"/>
      <c r="AH2" s="7">
        <f t="shared" ref="AH2:AH9" si="136">SUM(C2:AG2)</f>
        <v>0</v>
      </c>
      <c r="AJ2" s="1"/>
      <c r="AR2" s="30"/>
      <c r="BM2" s="1">
        <f t="shared" ref="BM2:BM9" si="137">SUM(AI2:BL2)</f>
        <v>0</v>
      </c>
      <c r="CS2" s="1">
        <f t="shared" ref="CS2:CS9" si="138">SUM(BN2:CR2)</f>
        <v>0</v>
      </c>
      <c r="DY2" s="1">
        <f t="shared" ref="DY2:DY9" si="139">SUM(CT2:DX2)</f>
        <v>0</v>
      </c>
      <c r="FD2" s="1">
        <f t="shared" ref="FD2:FD9" si="140">SUM(DZ2:FC2)</f>
        <v>0</v>
      </c>
      <c r="GJ2" s="1">
        <f t="shared" ref="GJ2:GJ9" si="141">SUM(FE2:GI2)</f>
        <v>0</v>
      </c>
      <c r="HO2" s="1">
        <f t="shared" ref="HO2:HO9" si="142">SUM(GK2:HN2)</f>
        <v>0</v>
      </c>
      <c r="IU2" s="1">
        <f t="shared" ref="IU2:IU9" si="143">SUM(HP2:IT2)</f>
        <v>0</v>
      </c>
      <c r="IV2">
        <f t="shared" ref="IV2:IV9" si="144">SUM(AH2,BM2,CS2,DY2,FD2,GJ2,HO2,IU2)</f>
        <v>0</v>
      </c>
    </row>
    <row r="3" ht="32.399999999999999" customHeight="1">
      <c r="A3" s="5" t="s">
        <v>15</v>
      </c>
      <c r="B3" s="2" t="s">
        <v>16</v>
      </c>
      <c r="AH3" s="7">
        <f t="shared" si="136"/>
        <v>0</v>
      </c>
      <c r="BM3" s="1">
        <f t="shared" si="137"/>
        <v>0</v>
      </c>
      <c r="CS3" s="1">
        <f t="shared" si="138"/>
        <v>0</v>
      </c>
      <c r="DY3" s="1">
        <f t="shared" si="139"/>
        <v>0</v>
      </c>
      <c r="FD3" s="1">
        <f t="shared" si="140"/>
        <v>0</v>
      </c>
      <c r="GJ3" s="1">
        <f t="shared" si="141"/>
        <v>0</v>
      </c>
      <c r="HO3" s="1">
        <f t="shared" si="142"/>
        <v>0</v>
      </c>
      <c r="IU3" s="1">
        <f t="shared" si="143"/>
        <v>0</v>
      </c>
      <c r="IV3">
        <f t="shared" si="144"/>
        <v>0</v>
      </c>
    </row>
    <row r="4" ht="32.399999999999999" customHeight="1">
      <c r="A4" s="5" t="s">
        <v>17</v>
      </c>
      <c r="B4" s="2" t="s">
        <v>16</v>
      </c>
      <c r="AH4" s="7">
        <f t="shared" si="136"/>
        <v>0</v>
      </c>
      <c r="BM4" s="1">
        <f t="shared" si="137"/>
        <v>0</v>
      </c>
      <c r="CS4" s="1">
        <f t="shared" si="138"/>
        <v>0</v>
      </c>
      <c r="DY4" s="1">
        <f t="shared" si="139"/>
        <v>0</v>
      </c>
      <c r="FD4" s="1">
        <f t="shared" si="140"/>
        <v>0</v>
      </c>
      <c r="GJ4" s="1">
        <f t="shared" si="141"/>
        <v>0</v>
      </c>
      <c r="HO4" s="1">
        <f t="shared" si="142"/>
        <v>0</v>
      </c>
      <c r="IU4" s="1">
        <f t="shared" si="143"/>
        <v>0</v>
      </c>
      <c r="IV4">
        <f t="shared" si="144"/>
        <v>0</v>
      </c>
    </row>
    <row r="5" ht="32.399999999999999" customHeight="1">
      <c r="A5" s="5" t="s">
        <v>18</v>
      </c>
      <c r="B5" s="2" t="s">
        <v>16</v>
      </c>
      <c r="AH5" s="7">
        <f t="shared" si="136"/>
        <v>0</v>
      </c>
      <c r="BM5" s="1">
        <f t="shared" si="137"/>
        <v>0</v>
      </c>
      <c r="CS5" s="1">
        <f t="shared" si="138"/>
        <v>0</v>
      </c>
      <c r="DY5" s="1">
        <f t="shared" si="139"/>
        <v>0</v>
      </c>
      <c r="FD5" s="1">
        <f t="shared" si="140"/>
        <v>0</v>
      </c>
      <c r="GJ5" s="1">
        <f t="shared" si="141"/>
        <v>0</v>
      </c>
      <c r="HO5" s="1">
        <f t="shared" si="142"/>
        <v>0</v>
      </c>
      <c r="IU5" s="1">
        <f t="shared" si="143"/>
        <v>0</v>
      </c>
      <c r="IV5">
        <f t="shared" si="144"/>
        <v>0</v>
      </c>
    </row>
    <row r="6" ht="32.399999999999999" customHeight="1">
      <c r="A6" s="5" t="s">
        <v>19</v>
      </c>
      <c r="B6" s="2" t="s">
        <v>16</v>
      </c>
      <c r="AH6" s="7">
        <f t="shared" si="136"/>
        <v>0</v>
      </c>
      <c r="BM6" s="1">
        <f t="shared" si="137"/>
        <v>0</v>
      </c>
      <c r="CS6" s="1">
        <f t="shared" si="138"/>
        <v>0</v>
      </c>
      <c r="DY6" s="1">
        <f t="shared" si="139"/>
        <v>0</v>
      </c>
      <c r="FD6" s="1">
        <f t="shared" si="140"/>
        <v>0</v>
      </c>
      <c r="GJ6" s="1">
        <f t="shared" si="141"/>
        <v>0</v>
      </c>
      <c r="HO6" s="1">
        <f t="shared" si="142"/>
        <v>0</v>
      </c>
      <c r="IU6" s="1">
        <f t="shared" si="143"/>
        <v>0</v>
      </c>
      <c r="IV6">
        <f t="shared" si="144"/>
        <v>0</v>
      </c>
    </row>
    <row r="7" ht="32.399999999999999" customHeight="1">
      <c r="A7" s="5" t="s">
        <v>20</v>
      </c>
      <c r="B7" s="2" t="s">
        <v>16</v>
      </c>
      <c r="AH7" s="7">
        <f t="shared" si="136"/>
        <v>0</v>
      </c>
      <c r="BM7" s="1">
        <f t="shared" si="137"/>
        <v>0</v>
      </c>
      <c r="CS7" s="1">
        <f t="shared" si="138"/>
        <v>0</v>
      </c>
      <c r="DY7" s="1">
        <f t="shared" si="139"/>
        <v>0</v>
      </c>
      <c r="FD7" s="1">
        <f t="shared" si="140"/>
        <v>0</v>
      </c>
      <c r="GJ7" s="1">
        <f t="shared" si="141"/>
        <v>0</v>
      </c>
      <c r="HO7" s="1">
        <f t="shared" si="142"/>
        <v>0</v>
      </c>
      <c r="IU7" s="1">
        <f t="shared" si="143"/>
        <v>0</v>
      </c>
      <c r="IV7">
        <f t="shared" si="144"/>
        <v>0</v>
      </c>
    </row>
    <row r="8" ht="32.399999999999999" customHeight="1">
      <c r="A8" s="5" t="s">
        <v>21</v>
      </c>
      <c r="B8" s="2" t="s">
        <v>22</v>
      </c>
      <c r="AH8" s="7">
        <f t="shared" si="136"/>
        <v>0</v>
      </c>
      <c r="BM8" s="1">
        <f t="shared" si="137"/>
        <v>0</v>
      </c>
      <c r="CS8" s="1">
        <f t="shared" si="138"/>
        <v>0</v>
      </c>
      <c r="DY8" s="1">
        <f t="shared" si="139"/>
        <v>0</v>
      </c>
      <c r="FD8" s="1">
        <f t="shared" si="140"/>
        <v>0</v>
      </c>
      <c r="GJ8" s="1">
        <f t="shared" si="141"/>
        <v>0</v>
      </c>
      <c r="HO8" s="1">
        <f t="shared" si="142"/>
        <v>0</v>
      </c>
      <c r="IU8" s="1">
        <f t="shared" si="143"/>
        <v>0</v>
      </c>
      <c r="IV8">
        <f t="shared" si="144"/>
        <v>0</v>
      </c>
    </row>
    <row r="9" ht="32.399999999999999" customHeight="1">
      <c r="A9" s="5" t="s">
        <v>23</v>
      </c>
      <c r="B9" s="2" t="s">
        <v>16</v>
      </c>
      <c r="AH9" s="7">
        <f t="shared" si="136"/>
        <v>0</v>
      </c>
      <c r="BM9" s="1">
        <f t="shared" si="137"/>
        <v>0</v>
      </c>
      <c r="CS9" s="1">
        <f t="shared" si="138"/>
        <v>0</v>
      </c>
      <c r="DY9" s="1">
        <f t="shared" si="139"/>
        <v>0</v>
      </c>
      <c r="FD9" s="1">
        <f t="shared" si="140"/>
        <v>0</v>
      </c>
      <c r="GJ9" s="1">
        <f t="shared" si="141"/>
        <v>0</v>
      </c>
      <c r="HO9" s="1">
        <f t="shared" si="142"/>
        <v>0</v>
      </c>
      <c r="IU9" s="1">
        <f t="shared" si="143"/>
        <v>0</v>
      </c>
      <c r="IV9">
        <f t="shared" si="144"/>
        <v>0</v>
      </c>
    </row>
    <row r="10" ht="32.399999999999999" customHeight="1">
      <c r="A10" s="5" t="s">
        <v>24</v>
      </c>
      <c r="B10" s="2" t="s">
        <v>16</v>
      </c>
      <c r="AH10" s="7">
        <f t="shared" ref="AH10:AH24" si="145">SUM(C10:AG10)</f>
        <v>0</v>
      </c>
      <c r="BM10" s="1">
        <f t="shared" ref="BM10:BM24" si="146">SUM(AI10:BL10)</f>
        <v>0</v>
      </c>
      <c r="CS10" s="1">
        <f t="shared" ref="CS10:CS24" si="147">SUM(BN10:CR10)</f>
        <v>0</v>
      </c>
      <c r="DY10" s="1">
        <f t="shared" ref="DY10:DY24" si="148">SUM(CT10:DX10)</f>
        <v>0</v>
      </c>
      <c r="FD10" s="1">
        <f t="shared" ref="FD10:FD24" si="149">SUM(DZ10:FC10)</f>
        <v>0</v>
      </c>
      <c r="GJ10" s="1">
        <f t="shared" ref="GJ10:GJ24" si="150">SUM(FE10:GI10)</f>
        <v>0</v>
      </c>
      <c r="HO10" s="1">
        <f t="shared" ref="HO10:HO24" si="151">SUM(GK10:HN10)</f>
        <v>0</v>
      </c>
      <c r="IU10" s="1">
        <f t="shared" ref="IU10:IU24" si="152">SUM(HP10:IT10)</f>
        <v>0</v>
      </c>
      <c r="IV10">
        <f t="shared" ref="IV10:IV24" si="153">SUM(AH10,BM10,CS10,DY10,FD10,GJ10,HO10,IU10)</f>
        <v>0</v>
      </c>
    </row>
    <row r="11" ht="32.399999999999999" customHeight="1">
      <c r="A11" s="5" t="s">
        <v>25</v>
      </c>
      <c r="B11" s="2" t="s">
        <v>16</v>
      </c>
      <c r="AH11" s="7">
        <f t="shared" si="145"/>
        <v>0</v>
      </c>
      <c r="BM11" s="1">
        <f t="shared" si="146"/>
        <v>0</v>
      </c>
      <c r="CS11" s="1">
        <f t="shared" si="147"/>
        <v>0</v>
      </c>
      <c r="DY11" s="1">
        <f t="shared" si="148"/>
        <v>0</v>
      </c>
      <c r="FD11" s="1">
        <f t="shared" si="149"/>
        <v>0</v>
      </c>
      <c r="GJ11" s="1">
        <f t="shared" si="150"/>
        <v>0</v>
      </c>
      <c r="HO11" s="1">
        <f t="shared" si="151"/>
        <v>0</v>
      </c>
      <c r="IU11" s="1">
        <f t="shared" si="152"/>
        <v>0</v>
      </c>
      <c r="IV11">
        <f t="shared" si="153"/>
        <v>0</v>
      </c>
    </row>
    <row r="12" ht="32.399999999999999" customHeight="1">
      <c r="A12" s="5" t="s">
        <v>26</v>
      </c>
      <c r="B12" s="2" t="s">
        <v>16</v>
      </c>
      <c r="AH12" s="7">
        <f t="shared" si="145"/>
        <v>0</v>
      </c>
      <c r="BM12" s="1">
        <f t="shared" si="146"/>
        <v>0</v>
      </c>
      <c r="CS12" s="1">
        <f t="shared" si="147"/>
        <v>0</v>
      </c>
      <c r="DY12" s="1">
        <f t="shared" si="148"/>
        <v>0</v>
      </c>
      <c r="FD12" s="1">
        <f t="shared" si="149"/>
        <v>0</v>
      </c>
      <c r="GJ12" s="1">
        <f t="shared" si="150"/>
        <v>0</v>
      </c>
      <c r="HO12" s="1">
        <f t="shared" si="151"/>
        <v>0</v>
      </c>
      <c r="IU12" s="1">
        <f t="shared" si="152"/>
        <v>0</v>
      </c>
      <c r="IV12">
        <f t="shared" si="153"/>
        <v>0</v>
      </c>
    </row>
    <row r="13" ht="32.399999999999999" customHeight="1">
      <c r="A13" s="5" t="s">
        <v>27</v>
      </c>
      <c r="B13" s="2" t="s">
        <v>16</v>
      </c>
      <c r="AH13" s="7">
        <f t="shared" si="145"/>
        <v>0</v>
      </c>
      <c r="AP13" s="30"/>
      <c r="BM13" s="1">
        <f t="shared" si="146"/>
        <v>0</v>
      </c>
      <c r="CS13" s="1">
        <f t="shared" si="147"/>
        <v>0</v>
      </c>
      <c r="DY13" s="1">
        <f t="shared" si="148"/>
        <v>0</v>
      </c>
      <c r="FD13" s="1">
        <f t="shared" si="149"/>
        <v>0</v>
      </c>
      <c r="GJ13" s="1">
        <f t="shared" si="150"/>
        <v>0</v>
      </c>
      <c r="HO13" s="1">
        <f t="shared" si="151"/>
        <v>0</v>
      </c>
      <c r="IU13" s="1">
        <f t="shared" si="152"/>
        <v>0</v>
      </c>
      <c r="IV13">
        <f t="shared" si="153"/>
        <v>0</v>
      </c>
    </row>
    <row r="14" ht="32.399999999999999" customHeight="1">
      <c r="A14" s="5" t="s">
        <v>28</v>
      </c>
      <c r="B14" s="2" t="s">
        <v>16</v>
      </c>
      <c r="AH14" s="7">
        <f t="shared" si="145"/>
        <v>0</v>
      </c>
      <c r="AP14" s="30"/>
      <c r="BM14" s="1">
        <f t="shared" si="146"/>
        <v>0</v>
      </c>
      <c r="CS14" s="1">
        <f t="shared" si="147"/>
        <v>0</v>
      </c>
      <c r="DY14" s="1">
        <f t="shared" si="148"/>
        <v>0</v>
      </c>
      <c r="FD14" s="1">
        <f t="shared" si="149"/>
        <v>0</v>
      </c>
      <c r="GJ14" s="1">
        <f t="shared" si="150"/>
        <v>0</v>
      </c>
      <c r="HO14" s="1">
        <f t="shared" si="151"/>
        <v>0</v>
      </c>
      <c r="IU14" s="1">
        <f t="shared" si="152"/>
        <v>0</v>
      </c>
      <c r="IV14">
        <f t="shared" si="153"/>
        <v>0</v>
      </c>
    </row>
    <row r="15" ht="32.399999999999999" customHeight="1">
      <c r="A15" s="5" t="s">
        <v>29</v>
      </c>
      <c r="B15" s="2" t="s">
        <v>16</v>
      </c>
      <c r="AH15" s="7">
        <f t="shared" si="145"/>
        <v>0</v>
      </c>
      <c r="AP15" s="30"/>
      <c r="BM15" s="1">
        <f t="shared" si="146"/>
        <v>0</v>
      </c>
      <c r="CS15" s="1">
        <f t="shared" si="147"/>
        <v>0</v>
      </c>
      <c r="DY15" s="1">
        <f t="shared" si="148"/>
        <v>0</v>
      </c>
      <c r="FD15" s="1">
        <f t="shared" si="149"/>
        <v>0</v>
      </c>
      <c r="GJ15" s="1">
        <f t="shared" si="150"/>
        <v>0</v>
      </c>
      <c r="HO15" s="1">
        <f t="shared" si="151"/>
        <v>0</v>
      </c>
      <c r="IU15" s="1">
        <f t="shared" si="152"/>
        <v>0</v>
      </c>
      <c r="IV15">
        <f t="shared" si="153"/>
        <v>0</v>
      </c>
    </row>
    <row r="16" ht="32.399999999999999" customHeight="1">
      <c r="A16" s="5" t="s">
        <v>30</v>
      </c>
      <c r="B16" s="2" t="s">
        <v>22</v>
      </c>
      <c r="AH16" s="7">
        <f t="shared" si="145"/>
        <v>0</v>
      </c>
      <c r="AP16" s="30"/>
      <c r="BM16" s="1">
        <f t="shared" si="146"/>
        <v>0</v>
      </c>
      <c r="CS16" s="1">
        <f t="shared" si="147"/>
        <v>0</v>
      </c>
      <c r="DY16" s="1">
        <f t="shared" si="148"/>
        <v>0</v>
      </c>
      <c r="FD16" s="1">
        <f t="shared" si="149"/>
        <v>0</v>
      </c>
      <c r="GJ16" s="1">
        <f t="shared" si="150"/>
        <v>0</v>
      </c>
      <c r="HO16" s="1">
        <f t="shared" si="151"/>
        <v>0</v>
      </c>
      <c r="IU16" s="1">
        <f t="shared" si="152"/>
        <v>0</v>
      </c>
      <c r="IV16">
        <f t="shared" si="153"/>
        <v>0</v>
      </c>
    </row>
    <row r="17" ht="32.399999999999999" customHeight="1">
      <c r="A17" s="5" t="s">
        <v>31</v>
      </c>
      <c r="B17" s="2" t="s">
        <v>16</v>
      </c>
      <c r="E17">
        <v>539.42999999999995</v>
      </c>
      <c r="AH17" s="7">
        <f t="shared" si="145"/>
        <v>539.42999999999995</v>
      </c>
      <c r="AP17" s="30"/>
      <c r="BM17" s="1">
        <f t="shared" si="146"/>
        <v>0</v>
      </c>
      <c r="IV17">
        <f t="shared" si="153"/>
        <v>539.42999999999995</v>
      </c>
    </row>
    <row r="18" ht="32.399999999999999" customHeight="1">
      <c r="A18" s="5" t="s">
        <v>32</v>
      </c>
      <c r="B18" s="2" t="s">
        <v>16</v>
      </c>
      <c r="C18" s="46">
        <v>153</v>
      </c>
      <c r="AH18" s="7">
        <f t="shared" si="145"/>
        <v>153</v>
      </c>
      <c r="AI18">
        <v>37</v>
      </c>
      <c r="AJ18">
        <v>240</v>
      </c>
      <c r="AK18">
        <v>20</v>
      </c>
      <c r="AL18">
        <v>80</v>
      </c>
      <c r="AP18" s="30"/>
      <c r="BM18" s="1">
        <f t="shared" si="146"/>
        <v>377</v>
      </c>
      <c r="BN18">
        <v>800</v>
      </c>
      <c r="CS18" s="1">
        <f t="shared" si="147"/>
        <v>800</v>
      </c>
      <c r="CU18">
        <v>70</v>
      </c>
      <c r="DY18" s="1">
        <f t="shared" si="148"/>
        <v>70</v>
      </c>
      <c r="FC18">
        <v>1685</v>
      </c>
      <c r="FD18" s="1">
        <f t="shared" si="149"/>
        <v>1685</v>
      </c>
      <c r="GJ18" s="1">
        <f t="shared" si="150"/>
        <v>0</v>
      </c>
      <c r="HO18" s="1">
        <f t="shared" si="151"/>
        <v>0</v>
      </c>
      <c r="IU18" s="1">
        <f t="shared" si="152"/>
        <v>0</v>
      </c>
      <c r="IV18">
        <f t="shared" si="153"/>
        <v>3085</v>
      </c>
    </row>
    <row r="19" ht="32.399999999999999" customHeight="1">
      <c r="A19" s="5" t="s">
        <v>33</v>
      </c>
      <c r="B19" s="2" t="s">
        <v>16</v>
      </c>
      <c r="C19" s="47">
        <v>2</v>
      </c>
      <c r="AH19" s="7">
        <f t="shared" si="145"/>
        <v>2</v>
      </c>
      <c r="AI19">
        <v>2</v>
      </c>
      <c r="AJ19">
        <v>3</v>
      </c>
      <c r="AP19" s="30"/>
      <c r="BM19" s="1">
        <f t="shared" si="146"/>
        <v>5</v>
      </c>
      <c r="BN19">
        <v>2</v>
      </c>
      <c r="CS19" s="1">
        <f t="shared" si="147"/>
        <v>2</v>
      </c>
      <c r="CU19">
        <v>4</v>
      </c>
      <c r="DY19" s="1">
        <f t="shared" si="148"/>
        <v>4</v>
      </c>
      <c r="FD19" s="1">
        <f t="shared" si="149"/>
        <v>0</v>
      </c>
      <c r="GJ19" s="1">
        <f t="shared" si="150"/>
        <v>0</v>
      </c>
      <c r="HO19" s="1">
        <f t="shared" si="151"/>
        <v>0</v>
      </c>
      <c r="IT19" s="48">
        <v>6</v>
      </c>
      <c r="IU19" s="1">
        <f t="shared" si="152"/>
        <v>6</v>
      </c>
      <c r="IV19">
        <f t="shared" si="153"/>
        <v>19</v>
      </c>
    </row>
    <row r="20" ht="32.399999999999999" customHeight="1">
      <c r="A20" s="5" t="s">
        <v>34</v>
      </c>
      <c r="B20" s="2" t="s">
        <v>16</v>
      </c>
      <c r="C20" s="47">
        <v>2</v>
      </c>
      <c r="AH20" s="7">
        <f t="shared" si="145"/>
        <v>2</v>
      </c>
      <c r="AI20">
        <v>2</v>
      </c>
      <c r="AJ20">
        <v>2</v>
      </c>
      <c r="AP20" s="30"/>
      <c r="BM20" s="1">
        <f t="shared" si="146"/>
        <v>4</v>
      </c>
      <c r="BN20">
        <v>2</v>
      </c>
      <c r="CS20" s="1">
        <f t="shared" si="147"/>
        <v>2</v>
      </c>
      <c r="CU20">
        <v>4</v>
      </c>
      <c r="DY20" s="1">
        <f t="shared" si="148"/>
        <v>4</v>
      </c>
      <c r="FD20" s="1">
        <f t="shared" si="149"/>
        <v>0</v>
      </c>
      <c r="GJ20" s="1">
        <f t="shared" si="150"/>
        <v>0</v>
      </c>
      <c r="HO20" s="1">
        <f t="shared" si="151"/>
        <v>0</v>
      </c>
      <c r="IT20" s="49">
        <v>6</v>
      </c>
      <c r="IU20" s="1">
        <f t="shared" si="152"/>
        <v>6</v>
      </c>
      <c r="IV20">
        <f t="shared" si="153"/>
        <v>18</v>
      </c>
    </row>
    <row r="21" ht="32.399999999999999" customHeight="1">
      <c r="A21" s="5" t="s">
        <v>35</v>
      </c>
      <c r="B21" s="2" t="s">
        <v>16</v>
      </c>
      <c r="C21" s="47">
        <v>42</v>
      </c>
      <c r="AH21" s="7">
        <f t="shared" si="145"/>
        <v>42</v>
      </c>
      <c r="AI21">
        <v>15</v>
      </c>
      <c r="AJ21">
        <v>15</v>
      </c>
      <c r="AP21" s="30"/>
      <c r="BM21" s="1">
        <f t="shared" si="146"/>
        <v>30</v>
      </c>
      <c r="BN21">
        <v>2</v>
      </c>
      <c r="CS21" s="1">
        <f t="shared" si="147"/>
        <v>2</v>
      </c>
      <c r="CU21">
        <v>5</v>
      </c>
      <c r="DY21" s="1">
        <f t="shared" si="148"/>
        <v>5</v>
      </c>
      <c r="FD21" s="1">
        <f t="shared" si="149"/>
        <v>0</v>
      </c>
      <c r="GJ21" s="1">
        <f t="shared" si="150"/>
        <v>0</v>
      </c>
      <c r="HO21" s="1">
        <f t="shared" si="151"/>
        <v>0</v>
      </c>
      <c r="IT21" s="49">
        <v>141</v>
      </c>
      <c r="IU21" s="1">
        <f t="shared" si="152"/>
        <v>141</v>
      </c>
      <c r="IV21">
        <f t="shared" si="153"/>
        <v>220</v>
      </c>
    </row>
    <row r="22" ht="32.399999999999999" customHeight="1">
      <c r="A22" s="5" t="s">
        <v>36</v>
      </c>
      <c r="B22" s="2" t="s">
        <v>16</v>
      </c>
      <c r="C22" s="47">
        <f>46+99+213</f>
        <v>358</v>
      </c>
      <c r="AH22" s="7">
        <f t="shared" si="145"/>
        <v>358</v>
      </c>
      <c r="AI22">
        <f>46+36+5</f>
        <v>87</v>
      </c>
      <c r="AJ22">
        <v>102</v>
      </c>
      <c r="AK22">
        <v>5</v>
      </c>
      <c r="AL22">
        <v>9</v>
      </c>
      <c r="AM22">
        <v>8</v>
      </c>
      <c r="AN22">
        <v>53</v>
      </c>
      <c r="AO22">
        <v>22</v>
      </c>
      <c r="AP22" s="30">
        <v>11</v>
      </c>
      <c r="AQ22">
        <v>9</v>
      </c>
      <c r="AR22">
        <v>4</v>
      </c>
      <c r="AS22">
        <v>12</v>
      </c>
      <c r="AT22">
        <v>11</v>
      </c>
      <c r="BM22" s="1">
        <f t="shared" si="146"/>
        <v>333</v>
      </c>
      <c r="BN22">
        <v>242</v>
      </c>
      <c r="CS22" s="1">
        <f t="shared" si="147"/>
        <v>242</v>
      </c>
      <c r="CU22">
        <f>36+10+26+29+14+9+6+9+6+16+18+4+3+7+1+9+6+3+2+13+1+2+5+3</f>
        <v>238</v>
      </c>
      <c r="DY22" s="1">
        <f t="shared" si="148"/>
        <v>238</v>
      </c>
      <c r="FD22" s="1">
        <f t="shared" si="149"/>
        <v>0</v>
      </c>
      <c r="GJ22" s="1">
        <f t="shared" si="150"/>
        <v>0</v>
      </c>
      <c r="HO22" s="1">
        <f t="shared" si="151"/>
        <v>0</v>
      </c>
      <c r="IT22" s="49">
        <v>839</v>
      </c>
      <c r="IU22" s="1">
        <f t="shared" si="152"/>
        <v>839</v>
      </c>
      <c r="IV22">
        <f t="shared" si="153"/>
        <v>2010</v>
      </c>
    </row>
    <row r="23" ht="32.399999999999999" customHeight="1">
      <c r="A23" s="5" t="s">
        <v>37</v>
      </c>
      <c r="B23" s="2" t="s">
        <v>16</v>
      </c>
      <c r="C23" s="47">
        <v>45</v>
      </c>
      <c r="AH23" s="7">
        <f t="shared" si="145"/>
        <v>45</v>
      </c>
      <c r="AI23">
        <v>1</v>
      </c>
      <c r="AJ23">
        <v>4</v>
      </c>
      <c r="AP23" s="30"/>
      <c r="BM23" s="1">
        <f t="shared" si="146"/>
        <v>5</v>
      </c>
      <c r="BN23">
        <v>4</v>
      </c>
      <c r="CS23" s="1">
        <f t="shared" si="147"/>
        <v>4</v>
      </c>
      <c r="CU23">
        <v>2</v>
      </c>
      <c r="DY23" s="1">
        <f t="shared" si="148"/>
        <v>2</v>
      </c>
      <c r="FD23" s="1">
        <f t="shared" si="149"/>
        <v>0</v>
      </c>
      <c r="GJ23" s="1">
        <f t="shared" si="150"/>
        <v>0</v>
      </c>
      <c r="HO23" s="1">
        <f t="shared" si="151"/>
        <v>0</v>
      </c>
      <c r="IT23" s="49">
        <v>20</v>
      </c>
      <c r="IU23" s="1">
        <f t="shared" si="152"/>
        <v>20</v>
      </c>
      <c r="IV23">
        <f t="shared" si="153"/>
        <v>76</v>
      </c>
    </row>
    <row r="24" ht="32.399999999999999" customHeight="1">
      <c r="A24" s="5" t="s">
        <v>38</v>
      </c>
      <c r="B24" s="2" t="s">
        <v>16</v>
      </c>
      <c r="C24" s="50">
        <v>893</v>
      </c>
      <c r="AH24" s="7">
        <f t="shared" si="145"/>
        <v>893</v>
      </c>
      <c r="AI24">
        <v>1054</v>
      </c>
      <c r="AJ24">
        <v>1540</v>
      </c>
      <c r="AK24">
        <v>1287</v>
      </c>
      <c r="AL24">
        <v>1129</v>
      </c>
      <c r="AP24" s="30"/>
      <c r="BM24" s="1">
        <f t="shared" si="146"/>
        <v>5010</v>
      </c>
      <c r="BN24">
        <v>4600</v>
      </c>
      <c r="CS24" s="1">
        <f t="shared" si="147"/>
        <v>4600</v>
      </c>
      <c r="CU24">
        <v>2300</v>
      </c>
      <c r="DY24" s="1">
        <f t="shared" si="148"/>
        <v>2300</v>
      </c>
      <c r="FD24" s="1">
        <f t="shared" si="149"/>
        <v>0</v>
      </c>
      <c r="GJ24" s="1">
        <f t="shared" si="150"/>
        <v>0</v>
      </c>
      <c r="HO24" s="1">
        <f t="shared" si="151"/>
        <v>0</v>
      </c>
      <c r="IU24" s="1">
        <f t="shared" si="152"/>
        <v>0</v>
      </c>
      <c r="IV24">
        <f t="shared" si="153"/>
        <v>12803</v>
      </c>
    </row>
    <row r="25" ht="42.75">
      <c r="AP25" s="30"/>
    </row>
    <row r="26" ht="13.5">
      <c r="AP26" s="30"/>
      <c r="AT26" s="56" t="s">
        <v>136</v>
      </c>
    </row>
    <row r="27" ht="13.5">
      <c r="AP27" s="30"/>
    </row>
    <row r="28" ht="13.5">
      <c r="AP28" s="30"/>
    </row>
    <row r="29" ht="13.5">
      <c r="AP29" s="30"/>
    </row>
    <row r="30" ht="13.5">
      <c r="AP30" s="30"/>
    </row>
    <row r="31" ht="13.5">
      <c r="AP31" s="30"/>
    </row>
    <row r="32" ht="13.5">
      <c r="AP32" s="30"/>
    </row>
    <row r="33" ht="107.25" customHeight="1">
      <c r="AP33" s="30"/>
      <c r="IQ33" s="51"/>
      <c r="IX33" s="35"/>
    </row>
    <row r="34" ht="14.25">
      <c r="AP34" s="30"/>
      <c r="IQ34" s="51"/>
    </row>
    <row r="35" ht="13.5">
      <c r="AP35" s="30"/>
    </row>
    <row r="36" ht="13.5">
      <c r="AP36" s="30"/>
    </row>
    <row r="37" ht="13.5">
      <c r="AP37" s="30"/>
    </row>
    <row r="38" ht="13.5">
      <c r="AP38" s="30"/>
    </row>
    <row r="39" ht="13.5">
      <c r="AP39" s="30"/>
    </row>
    <row r="40" ht="13.5">
      <c r="AP40" s="30"/>
    </row>
    <row r="41" ht="13.5">
      <c r="AP41" s="30"/>
    </row>
    <row r="42" ht="13.5">
      <c r="AP42" s="30"/>
    </row>
    <row r="43" ht="13.5">
      <c r="AP43" s="30"/>
    </row>
    <row r="44" ht="13.5">
      <c r="AP44" s="30"/>
    </row>
    <row r="45" ht="13.5">
      <c r="AP45" s="30"/>
    </row>
    <row r="46" ht="13.5">
      <c r="AP46" s="30"/>
    </row>
    <row r="47" ht="13.5">
      <c r="AP47" s="30"/>
    </row>
    <row r="48" ht="13.5">
      <c r="AP48" s="30"/>
    </row>
    <row r="49" ht="13.5">
      <c r="AP49" s="30"/>
    </row>
    <row r="50" ht="13.5">
      <c r="AP50" s="30"/>
    </row>
    <row r="51" ht="13.5">
      <c r="AP51" s="30"/>
    </row>
    <row r="52" ht="13.5">
      <c r="AP52" s="30"/>
    </row>
    <row r="53" ht="13.5">
      <c r="AP53" s="30"/>
    </row>
    <row r="54" ht="13.5">
      <c r="AP54" s="30"/>
    </row>
    <row r="55" ht="13.5">
      <c r="AP55" s="30"/>
    </row>
    <row r="56" ht="13.5">
      <c r="AP56" s="30"/>
    </row>
    <row r="57" ht="13.5">
      <c r="AP57" s="30"/>
    </row>
    <row r="58" ht="13.5">
      <c r="AP58" s="30"/>
    </row>
    <row r="59" ht="13.5">
      <c r="AP59" s="30"/>
    </row>
    <row r="60" ht="13.5">
      <c r="AP60" s="30"/>
    </row>
    <row r="61" ht="13.5">
      <c r="AP61" s="30"/>
    </row>
    <row r="62" ht="13.5">
      <c r="AP62" s="30"/>
    </row>
    <row r="63" ht="13.5">
      <c r="AP63" s="30"/>
    </row>
    <row r="64" ht="13.5">
      <c r="AP64" s="30"/>
    </row>
    <row r="65" ht="13.5">
      <c r="AP65" s="30"/>
    </row>
    <row r="66" ht="13.5">
      <c r="AP66" s="30"/>
    </row>
    <row r="67" ht="13.5">
      <c r="AP67" s="30"/>
    </row>
    <row r="68" ht="13.5">
      <c r="AP68" s="30"/>
    </row>
    <row r="69" ht="13.5">
      <c r="AP69" s="30"/>
    </row>
    <row r="70" ht="13.5">
      <c r="AP70" s="30"/>
    </row>
    <row r="71" ht="13.5">
      <c r="AP71" s="30"/>
    </row>
    <row r="72" ht="13.5">
      <c r="AP72" s="30"/>
    </row>
    <row r="73" ht="13.5">
      <c r="AP73" s="30"/>
    </row>
    <row r="74" ht="13.5">
      <c r="AP74" s="30"/>
    </row>
    <row r="75" ht="13.5">
      <c r="AP75" s="30"/>
    </row>
    <row r="76" ht="13.5">
      <c r="AP76" s="30"/>
    </row>
    <row r="87" ht="23.850000000000001">
      <c r="B87" s="5"/>
    </row>
    <row r="88" ht="13.800000000000001">
      <c r="B88" s="5"/>
    </row>
    <row r="89" ht="13.800000000000001">
      <c r="B89" s="5"/>
    </row>
    <row r="90" ht="13.800000000000001">
      <c r="B90" s="5"/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&amp;C&amp;12Страница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theme="1" tint="0"/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M24" zoomScale="100" workbookViewId="0">
      <selection activeCell="A1" activeCellId="0" sqref="A1"/>
    </sheetView>
  </sheetViews>
  <sheetFormatPr defaultColWidth="12.67578125" defaultRowHeight="13.5"/>
  <cols>
    <col customWidth="1" min="1" max="1" style="57" width="34.619999999999997"/>
    <col customWidth="0" min="2" max="2" style="57" width="12.67"/>
    <col customWidth="1" min="3" max="3" style="57" width="13.960000000000001"/>
    <col customWidth="0" min="4" max="6" style="57" width="12.67"/>
    <col customWidth="1" min="7" max="7" style="57" width="13.07"/>
    <col customWidth="0" min="8" max="14" style="57" width="12.67"/>
    <col customWidth="1" min="15" max="15" style="57" width="13.52"/>
    <col customWidth="0" min="16" max="26" style="57" width="12.67"/>
    <col customWidth="1" min="27" max="27" style="57" width="20.48"/>
    <col customWidth="0" min="28" max="16384" style="57" width="12.67"/>
  </cols>
  <sheetData>
    <row r="1" ht="20.899999999999999" customHeight="1">
      <c r="A1" s="58" t="s">
        <v>137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9" t="str">
        <f>AA3</f>
        <v>Сентябрь</v>
      </c>
      <c r="P1" s="59"/>
      <c r="Q1" s="59">
        <f>YEAR('Омельчук'!C1:AG1)</f>
        <v>2026</v>
      </c>
      <c r="R1" s="60" t="s">
        <v>138</v>
      </c>
      <c r="S1" s="61"/>
      <c r="T1" s="61"/>
      <c r="U1" s="61"/>
      <c r="V1" s="61"/>
      <c r="W1" s="61"/>
      <c r="X1" s="61"/>
      <c r="Y1" s="61"/>
    </row>
    <row r="2" ht="13.800000000000001" customHeight="1">
      <c r="A2" s="2" t="s">
        <v>0</v>
      </c>
      <c r="B2" s="2" t="s">
        <v>1</v>
      </c>
      <c r="C2" s="2" t="s">
        <v>139</v>
      </c>
      <c r="D2" s="2"/>
      <c r="E2" s="2"/>
      <c r="F2" s="2"/>
      <c r="G2" s="2"/>
      <c r="H2" s="2"/>
      <c r="I2" s="2"/>
      <c r="J2" s="2"/>
      <c r="K2" s="2"/>
      <c r="L2" s="2"/>
      <c r="M2" s="2"/>
      <c r="N2" s="62" t="s">
        <v>140</v>
      </c>
      <c r="O2" s="2" t="s">
        <v>141</v>
      </c>
      <c r="P2" s="2"/>
      <c r="Q2" s="2"/>
      <c r="R2" s="2"/>
      <c r="S2" s="2"/>
      <c r="T2" s="2"/>
      <c r="U2" s="2"/>
      <c r="V2" s="2"/>
      <c r="W2" s="2"/>
      <c r="X2" s="2"/>
      <c r="Y2" s="2" t="s">
        <v>142</v>
      </c>
    </row>
    <row r="3" ht="33.5" customHeight="1">
      <c r="A3" s="2"/>
      <c r="B3" s="2"/>
      <c r="C3" s="2" t="s">
        <v>143</v>
      </c>
      <c r="D3" s="2" t="s">
        <v>144</v>
      </c>
      <c r="E3" s="2" t="s">
        <v>145</v>
      </c>
      <c r="F3" s="2" t="s">
        <v>146</v>
      </c>
      <c r="G3" s="2" t="s">
        <v>147</v>
      </c>
      <c r="H3" s="2" t="s">
        <v>148</v>
      </c>
      <c r="I3" s="2" t="s">
        <v>149</v>
      </c>
      <c r="J3" s="2" t="s">
        <v>150</v>
      </c>
      <c r="K3" s="2" t="s">
        <v>151</v>
      </c>
      <c r="L3" s="2" t="s">
        <v>152</v>
      </c>
      <c r="M3" s="2" t="s">
        <v>153</v>
      </c>
      <c r="N3" s="62"/>
      <c r="O3" s="2" t="s">
        <v>143</v>
      </c>
      <c r="P3" s="2" t="s">
        <v>144</v>
      </c>
      <c r="Q3" s="2" t="s">
        <v>145</v>
      </c>
      <c r="R3" s="2" t="s">
        <v>146</v>
      </c>
      <c r="S3" s="2" t="s">
        <v>147</v>
      </c>
      <c r="T3" s="2" t="s">
        <v>148</v>
      </c>
      <c r="U3" s="2" t="s">
        <v>149</v>
      </c>
      <c r="V3" s="2" t="s">
        <v>150</v>
      </c>
      <c r="W3" s="2" t="s">
        <v>151</v>
      </c>
      <c r="X3" s="2" t="s">
        <v>152</v>
      </c>
      <c r="Y3" s="2"/>
      <c r="Z3" s="57"/>
      <c r="AA3" s="63" t="s">
        <v>6</v>
      </c>
      <c r="AE3" s="1"/>
    </row>
    <row r="4" ht="95.25" customHeight="1">
      <c r="A4" s="5" t="s">
        <v>39</v>
      </c>
      <c r="B4" s="2" t="s">
        <v>12</v>
      </c>
      <c r="C4" s="64">
        <f>INDEX('Городинский'!A2:IV2,MATCH($AA$3,'Городинский'!$A$1:$IV$1,0))</f>
        <v>290.21999999999997</v>
      </c>
      <c r="D4" s="64">
        <f>INDEX('Горох'!A2:IV2,MATCH($AA$3,'Горох'!$A$1:$IV$1,0))</f>
        <v>1713.99</v>
      </c>
      <c r="E4" s="64">
        <f>INDEX('Градусова'!A2:IV2,MATCH($AA$3,'Градусова'!$A$1:$IV$1,0))</f>
        <v>943.58000000000004</v>
      </c>
      <c r="F4" s="64">
        <f>INDEX('Ксеневич'!A2:IV2,MATCH($AA$3,'Ксеневич'!$A$1:$IV$1,0))</f>
        <v>406.42000000000002</v>
      </c>
      <c r="G4" s="64">
        <f>INDEX('Кошель'!A2:IV2,MATCH($AA$3,'Кошель'!$A$1:$IV$1,0))</f>
        <v>0</v>
      </c>
      <c r="H4" s="64">
        <f>INDEX('Новик'!A2:IV2,MATCH($AA$3,'Новик'!$A$1:$IV$1,0))</f>
        <v>3192.4899999999998</v>
      </c>
      <c r="I4" s="64">
        <f>INDEX('Савич'!A2:IV2,MATCH($AA$3,'Савич'!$A$1:$IV$1,0))</f>
        <v>2174.27</v>
      </c>
      <c r="J4" s="64">
        <f>INDEX('Котик'!A2:IV2,MATCH($AA$3,'Котик'!$A$1:$IV$1,0))</f>
        <v>235.59</v>
      </c>
      <c r="K4" s="64">
        <f>INDEX('Фурс'!A2:EJ2,MATCH($AA$3,'Фурс'!$A$1:$EJ$1,0))</f>
        <v>87.159999999999997</v>
      </c>
      <c r="L4" s="64">
        <f>INDEX('Омельчук'!A2:IV2,MATCH($AA$3,'Омельчук'!$A$1:$IV$1,0))</f>
        <v>0</v>
      </c>
      <c r="M4" s="65">
        <f t="shared" ref="M4:M9" si="154">SUM(C4:L4)</f>
        <v>9043.7199999999993</v>
      </c>
      <c r="N4" s="2">
        <v>0.13300000000000001</v>
      </c>
      <c r="O4" s="2">
        <f t="shared" ref="O4:O9" si="155">C4*N4</f>
        <v>38.599260000000001</v>
      </c>
      <c r="P4" s="2">
        <f t="shared" ref="P4:P9" si="156">D4*N4</f>
        <v>227.96067000000002</v>
      </c>
      <c r="Q4" s="2">
        <f t="shared" ref="Q4:Q9" si="157">E4*N4</f>
        <v>125.49614000000001</v>
      </c>
      <c r="R4" s="2">
        <f t="shared" ref="R4:R9" si="158">F4*N4</f>
        <v>54.053860000000007</v>
      </c>
      <c r="S4" s="2">
        <f t="shared" ref="S4:S9" si="159">G4*N4</f>
        <v>0</v>
      </c>
      <c r="T4" s="2">
        <f t="shared" ref="T4:T9" si="160">H4*N4</f>
        <v>424.60116999999997</v>
      </c>
      <c r="U4" s="2">
        <f t="shared" ref="U4:U9" si="161">I4*N4</f>
        <v>289.17791</v>
      </c>
      <c r="V4" s="2">
        <f t="shared" ref="V4:V9" si="162">J4*N4</f>
        <v>31.333470000000002</v>
      </c>
      <c r="W4" s="2">
        <f t="shared" ref="W4:W9" si="163">K4*N4</f>
        <v>11.592280000000001</v>
      </c>
      <c r="X4" s="2">
        <f t="shared" ref="X4:X9" si="164">L4*N4</f>
        <v>0</v>
      </c>
      <c r="Y4" s="66">
        <f t="shared" ref="Y4:Y9" si="165">SUM(O4:X4)</f>
        <v>1202.81476</v>
      </c>
      <c r="AE4" s="1"/>
    </row>
    <row r="5" ht="23.75" customHeight="1">
      <c r="A5" s="5" t="s">
        <v>15</v>
      </c>
      <c r="B5" s="2" t="s">
        <v>16</v>
      </c>
      <c r="C5" s="64">
        <f>INDEX('Городинский'!A3:IV3,MATCH($AA$3,'Городинский'!$A$1:$IV$1,0))</f>
        <v>0</v>
      </c>
      <c r="D5" s="64">
        <f>INDEX('Горох'!A3:IV3,MATCH($AA$3,'Горох'!$A$1:$IV$1,0))</f>
        <v>4</v>
      </c>
      <c r="E5" s="64">
        <f>INDEX('Градусова'!A3:IV3,MATCH($AA$3,'Градусова'!$A$1:$IV$1,0))</f>
        <v>8</v>
      </c>
      <c r="F5" s="64">
        <f>INDEX('Ксеневич'!A3:IV3,MATCH($AA$3,'Ксеневич'!$A$1:$IV$1,0))</f>
        <v>5</v>
      </c>
      <c r="G5" s="64">
        <f>INDEX('Кошель'!A3:IV3,MATCH($AA$3,'Кошель'!$A$1:$IV$1,0))</f>
        <v>0</v>
      </c>
      <c r="H5" s="64">
        <f>INDEX('Новик'!A3:IV3,MATCH($AA$3,'Новик'!$A$1:$IV$1,0))</f>
        <v>9</v>
      </c>
      <c r="I5" s="64">
        <f>INDEX('Савич'!A3:IV3,MATCH($AA$3,'Савич'!$A$1:$IV$1,0))</f>
        <v>19</v>
      </c>
      <c r="J5" s="64">
        <f>INDEX('Котик'!A3:IV3,MATCH($AA$3,'Котик'!$A$1:$IV$1,0))</f>
        <v>0</v>
      </c>
      <c r="K5" s="64">
        <f>INDEX('Фурс'!A3:EJ3,MATCH($AA$3,'Фурс'!$A$1:$EJ$1,0))</f>
        <v>0</v>
      </c>
      <c r="L5" s="64">
        <f>INDEX('Омельчук'!A3:IV3,MATCH($AA$3,'Омельчук'!$A$1:$IV$1,0))</f>
        <v>0</v>
      </c>
      <c r="M5" s="65">
        <f t="shared" si="154"/>
        <v>45</v>
      </c>
      <c r="N5" s="2">
        <v>0.41999999999999998</v>
      </c>
      <c r="O5" s="2">
        <f t="shared" si="155"/>
        <v>0</v>
      </c>
      <c r="P5" s="2">
        <f t="shared" si="156"/>
        <v>1.6799999999999999</v>
      </c>
      <c r="Q5" s="2">
        <f t="shared" si="157"/>
        <v>3.3599999999999999</v>
      </c>
      <c r="R5" s="2">
        <f t="shared" si="158"/>
        <v>2.1000000000000001</v>
      </c>
      <c r="S5" s="2">
        <f t="shared" si="159"/>
        <v>0</v>
      </c>
      <c r="T5" s="2">
        <f t="shared" si="160"/>
        <v>3.7799999999999998</v>
      </c>
      <c r="U5" s="2">
        <f t="shared" si="161"/>
        <v>7.9799999999999995</v>
      </c>
      <c r="V5" s="2">
        <f t="shared" si="162"/>
        <v>0</v>
      </c>
      <c r="W5" s="2">
        <f t="shared" si="163"/>
        <v>0</v>
      </c>
      <c r="X5" s="2">
        <f t="shared" si="164"/>
        <v>0</v>
      </c>
      <c r="Y5" s="67">
        <f t="shared" si="165"/>
        <v>18.899999999999999</v>
      </c>
      <c r="AE5" s="1"/>
    </row>
    <row r="6" ht="23.75" customHeight="1">
      <c r="A6" s="5" t="s">
        <v>17</v>
      </c>
      <c r="B6" s="2" t="s">
        <v>16</v>
      </c>
      <c r="C6" s="64">
        <f>INDEX('Городинский'!A4:IV4,MATCH($AA$3,'Городинский'!$A$1:$IV$1,0))</f>
        <v>0</v>
      </c>
      <c r="D6" s="64">
        <f>INDEX('Горох'!A4:IV4,MATCH($AA$3,'Горох'!$A$1:$IV$1,0))</f>
        <v>42</v>
      </c>
      <c r="E6" s="64">
        <f>INDEX('Градусова'!A4:IV4,MATCH($AA$3,'Градусова'!$A$1:$IV$1,0))</f>
        <v>24</v>
      </c>
      <c r="F6" s="64">
        <f>INDEX('Ксеневич'!A4:IV4,MATCH($AA$3,'Ксеневич'!$A$1:$IV$1,0))</f>
        <v>70</v>
      </c>
      <c r="G6" s="64">
        <f>INDEX('Кошель'!A4:IV4,MATCH($AA$3,'Кошель'!$A$1:$IV$1,0))</f>
        <v>0</v>
      </c>
      <c r="H6" s="64">
        <f>INDEX('Новик'!A4:IV4,MATCH($AA$3,'Новик'!$A$1:$IV$1,0))</f>
        <v>24</v>
      </c>
      <c r="I6" s="64">
        <f>INDEX('Савич'!A4:IV4,MATCH($AA$3,'Савич'!$A$1:$IV$1,0))</f>
        <v>63</v>
      </c>
      <c r="J6" s="64">
        <f>INDEX('Котик'!A4:IV4,MATCH($AA$3,'Котик'!$A$1:$IV$1,0))</f>
        <v>8</v>
      </c>
      <c r="K6" s="64">
        <f>INDEX('Фурс'!A4:EJ4,MATCH($AA$3,'Фурс'!$A$1:$EJ$1,0))</f>
        <v>0</v>
      </c>
      <c r="L6" s="64">
        <f>INDEX('Омельчук'!A4:IV4,MATCH($AA$3,'Омельчук'!$A$1:$IV$1,0))</f>
        <v>0</v>
      </c>
      <c r="M6" s="65">
        <f t="shared" si="154"/>
        <v>231</v>
      </c>
      <c r="N6" s="2">
        <v>0.02</v>
      </c>
      <c r="O6" s="2">
        <f t="shared" si="155"/>
        <v>0</v>
      </c>
      <c r="P6" s="2">
        <f t="shared" si="156"/>
        <v>0.83999999999999997</v>
      </c>
      <c r="Q6" s="2">
        <f t="shared" si="157"/>
        <v>0.47999999999999998</v>
      </c>
      <c r="R6" s="2">
        <f t="shared" si="158"/>
        <v>1.4000000000000001</v>
      </c>
      <c r="S6" s="2">
        <f t="shared" si="159"/>
        <v>0</v>
      </c>
      <c r="T6" s="2">
        <f t="shared" si="160"/>
        <v>0.47999999999999998</v>
      </c>
      <c r="U6" s="2">
        <f t="shared" si="161"/>
        <v>1.26</v>
      </c>
      <c r="V6" s="2">
        <f t="shared" si="162"/>
        <v>0.16</v>
      </c>
      <c r="W6" s="2">
        <f t="shared" si="163"/>
        <v>0</v>
      </c>
      <c r="X6" s="2">
        <f t="shared" si="164"/>
        <v>0</v>
      </c>
      <c r="Y6" s="67">
        <f t="shared" si="165"/>
        <v>4.6200000000000001</v>
      </c>
    </row>
    <row r="7" ht="23.75" customHeight="1">
      <c r="A7" s="5" t="s">
        <v>18</v>
      </c>
      <c r="B7" s="2" t="s">
        <v>16</v>
      </c>
      <c r="C7" s="64">
        <f>INDEX('Городинский'!A5:IV5,MATCH($AA$3,'Городинский'!$A$1:$IV$1,0))</f>
        <v>0</v>
      </c>
      <c r="D7" s="64">
        <f>INDEX('Горох'!A5:IV5,MATCH($AA$3,'Горох'!$A$1:$IV$1,0))</f>
        <v>41</v>
      </c>
      <c r="E7" s="64">
        <f>INDEX('Градусова'!A5:IV5,MATCH($AA$3,'Градусова'!$A$1:$IV$1,0))</f>
        <v>31</v>
      </c>
      <c r="F7" s="64">
        <f>INDEX('Ксеневич'!A5:IV5,MATCH($AA$3,'Ксеневич'!$A$1:$IV$1,0))</f>
        <v>56</v>
      </c>
      <c r="G7" s="64">
        <f>INDEX('Кошель'!A5:IV5,MATCH($AA$3,'Кошель'!$A$1:$IV$1,0))</f>
        <v>0</v>
      </c>
      <c r="H7" s="64">
        <f>INDEX('Новик'!A5:IV5,MATCH($AA$3,'Новик'!$A$1:$IV$1,0))</f>
        <v>29</v>
      </c>
      <c r="I7" s="64">
        <f>INDEX('Савич'!A5:IV5,MATCH($AA$3,'Савич'!$A$1:$IV$1,0))</f>
        <v>66</v>
      </c>
      <c r="J7" s="64">
        <f>INDEX('Котик'!A5:IV5,MATCH($AA$3,'Котик'!$A$1:$IV$1,0))</f>
        <v>8</v>
      </c>
      <c r="K7" s="64">
        <f>INDEX('Фурс'!A5:EJ5,MATCH($AA$3,'Фурс'!$A$1:$EJ$1,0))</f>
        <v>0</v>
      </c>
      <c r="L7" s="64">
        <f>INDEX('Омельчук'!A5:IV5,MATCH($AA$3,'Омельчук'!$A$1:$IV$1,0))</f>
        <v>0</v>
      </c>
      <c r="M7" s="65">
        <f t="shared" si="154"/>
        <v>231</v>
      </c>
      <c r="N7" s="2">
        <v>0.37</v>
      </c>
      <c r="O7" s="2">
        <f t="shared" si="155"/>
        <v>0</v>
      </c>
      <c r="P7" s="2">
        <f t="shared" si="156"/>
        <v>15.17</v>
      </c>
      <c r="Q7" s="2">
        <f t="shared" si="157"/>
        <v>11.470000000000001</v>
      </c>
      <c r="R7" s="2">
        <f t="shared" si="158"/>
        <v>20.719999999999999</v>
      </c>
      <c r="S7" s="2">
        <f t="shared" si="159"/>
        <v>0</v>
      </c>
      <c r="T7" s="2">
        <f t="shared" si="160"/>
        <v>10.73</v>
      </c>
      <c r="U7" s="2">
        <f t="shared" si="161"/>
        <v>24.419999999999998</v>
      </c>
      <c r="V7" s="2">
        <f t="shared" si="162"/>
        <v>2.96</v>
      </c>
      <c r="W7" s="2">
        <f t="shared" si="163"/>
        <v>0</v>
      </c>
      <c r="X7" s="2">
        <f t="shared" si="164"/>
        <v>0</v>
      </c>
      <c r="Y7" s="67">
        <f t="shared" si="165"/>
        <v>85.469999999999999</v>
      </c>
    </row>
    <row r="8" ht="23.75" customHeight="1">
      <c r="A8" s="5" t="s">
        <v>19</v>
      </c>
      <c r="B8" s="2" t="s">
        <v>16</v>
      </c>
      <c r="C8" s="64">
        <f>INDEX('Городинский'!A6:IV6,MATCH($AA$3,'Городинский'!$A$1:$IV$1,0))</f>
        <v>0</v>
      </c>
      <c r="D8" s="64">
        <f>INDEX('Горох'!A6:IV6,MATCH($AA$3,'Горох'!$A$1:$IV$1,0))</f>
        <v>1</v>
      </c>
      <c r="E8" s="64">
        <f>INDEX('Градусова'!A6:IV6,MATCH($AA$3,'Градусова'!$A$1:$IV$1,0))</f>
        <v>11</v>
      </c>
      <c r="F8" s="64">
        <f>INDEX('Ксеневич'!A6:IV6,MATCH($AA$3,'Ксеневич'!$A$1:$IV$1,0))</f>
        <v>1</v>
      </c>
      <c r="G8" s="64">
        <f>INDEX('Кошель'!A6:IV6,MATCH($AA$3,'Кошель'!$A$1:$IV$1,0))</f>
        <v>0</v>
      </c>
      <c r="H8" s="64">
        <f>INDEX('Новик'!A6:IV6,MATCH($AA$3,'Новик'!$A$1:$IV$1,0))</f>
        <v>9</v>
      </c>
      <c r="I8" s="64">
        <f>INDEX('Савич'!A6:IV6,MATCH($AA$3,'Савич'!$A$1:$IV$1,0))</f>
        <v>5</v>
      </c>
      <c r="J8" s="64">
        <f>INDEX('Котик'!A6:IV6,MATCH($AA$3,'Котик'!$A$1:$IV$1,0))</f>
        <v>0</v>
      </c>
      <c r="K8" s="64">
        <f>INDEX('Фурс'!A6:EJ6,MATCH($AA$3,'Фурс'!$A$1:$EJ$1,0))</f>
        <v>0</v>
      </c>
      <c r="L8" s="64">
        <f>INDEX('Омельчук'!A6:IV6,MATCH($AA$3,'Омельчук'!$A$1:$IV$1,0))</f>
        <v>0</v>
      </c>
      <c r="M8" s="65">
        <f t="shared" si="154"/>
        <v>27</v>
      </c>
      <c r="N8" s="2">
        <v>0.67000000000000004</v>
      </c>
      <c r="O8" s="2">
        <f t="shared" si="155"/>
        <v>0</v>
      </c>
      <c r="P8" s="2">
        <f t="shared" si="156"/>
        <v>0.67000000000000004</v>
      </c>
      <c r="Q8" s="2">
        <f t="shared" si="157"/>
        <v>7.3700000000000001</v>
      </c>
      <c r="R8" s="2">
        <f t="shared" si="158"/>
        <v>0.67000000000000004</v>
      </c>
      <c r="S8" s="2">
        <f t="shared" si="159"/>
        <v>0</v>
      </c>
      <c r="T8" s="2">
        <f t="shared" si="160"/>
        <v>6.0300000000000002</v>
      </c>
      <c r="U8" s="2">
        <f t="shared" si="161"/>
        <v>3.3500000000000001</v>
      </c>
      <c r="V8" s="2">
        <f t="shared" si="162"/>
        <v>0</v>
      </c>
      <c r="W8" s="2">
        <f t="shared" si="163"/>
        <v>0</v>
      </c>
      <c r="X8" s="2">
        <f t="shared" si="164"/>
        <v>0</v>
      </c>
      <c r="Y8" s="67">
        <f t="shared" si="165"/>
        <v>18.090000000000003</v>
      </c>
    </row>
    <row r="9" ht="23.75" customHeight="1">
      <c r="A9" s="5" t="s">
        <v>20</v>
      </c>
      <c r="B9" s="2" t="s">
        <v>16</v>
      </c>
      <c r="C9" s="64">
        <f>INDEX('Городинский'!A7:IV7,MATCH($AA$3,'Городинский'!$A$1:$IV$1,0))</f>
        <v>0</v>
      </c>
      <c r="D9" s="64">
        <f>INDEX('Горох'!A7:IV7,MATCH($AA$3,'Горох'!$A$1:$IV$1,0))</f>
        <v>17</v>
      </c>
      <c r="E9" s="64">
        <f>INDEX('Градусова'!A7:IV7,MATCH($AA$3,'Градусова'!$A$1:$IV$1,0))</f>
        <v>15</v>
      </c>
      <c r="F9" s="64">
        <f>INDEX('Ксеневич'!A7:IV7,MATCH($AA$3,'Ксеневич'!$A$1:$IV$1,0))</f>
        <v>2</v>
      </c>
      <c r="G9" s="64">
        <f>INDEX('Кошель'!A7:IV7,MATCH($AA$3,'Кошель'!$A$1:$IV$1,0))</f>
        <v>0</v>
      </c>
      <c r="H9" s="64">
        <f>INDEX('Новик'!A7:IV7,MATCH($AA$3,'Новик'!$A$1:$IV$1,0))</f>
        <v>28</v>
      </c>
      <c r="I9" s="64">
        <f>INDEX('Савич'!A7:IV7,MATCH($AA$3,'Савич'!$A$1:$IV$1,0))</f>
        <v>11</v>
      </c>
      <c r="J9" s="64">
        <f>INDEX('Котик'!A7:IV7,MATCH($AA$3,'Котик'!$A$1:$IV$1,0))</f>
        <v>0</v>
      </c>
      <c r="K9" s="64">
        <f>INDEX('Фурс'!A7:EJ7,MATCH($AA$3,'Фурс'!$A$1:$EJ$1,0))</f>
        <v>0</v>
      </c>
      <c r="L9" s="64">
        <f>INDEX('Омельчук'!A7:IV7,MATCH($AA$3,'Омельчук'!$A$1:$IV$1,0))</f>
        <v>0</v>
      </c>
      <c r="M9" s="65">
        <f t="shared" si="154"/>
        <v>73</v>
      </c>
      <c r="N9" s="2">
        <v>0.20000000000000001</v>
      </c>
      <c r="O9" s="2">
        <f t="shared" si="155"/>
        <v>0</v>
      </c>
      <c r="P9" s="2">
        <f t="shared" si="156"/>
        <v>3.4000000000000004</v>
      </c>
      <c r="Q9" s="2">
        <f t="shared" si="157"/>
        <v>3</v>
      </c>
      <c r="R9" s="2">
        <f t="shared" si="158"/>
        <v>0.40000000000000002</v>
      </c>
      <c r="S9" s="2">
        <f t="shared" si="159"/>
        <v>0</v>
      </c>
      <c r="T9" s="2">
        <f t="shared" si="160"/>
        <v>5.6000000000000005</v>
      </c>
      <c r="U9" s="2">
        <f t="shared" si="161"/>
        <v>2.2000000000000002</v>
      </c>
      <c r="V9" s="2">
        <f t="shared" si="162"/>
        <v>0</v>
      </c>
      <c r="W9" s="2">
        <f t="shared" si="163"/>
        <v>0</v>
      </c>
      <c r="X9" s="2">
        <f t="shared" si="164"/>
        <v>0</v>
      </c>
      <c r="Y9" s="67">
        <f t="shared" si="165"/>
        <v>14.600000000000001</v>
      </c>
    </row>
    <row r="10" ht="23.75" customHeight="1">
      <c r="A10" s="5" t="s">
        <v>21</v>
      </c>
      <c r="B10" s="2" t="s">
        <v>22</v>
      </c>
      <c r="C10" s="64">
        <f>INDEX('Городинский'!A8:IV8,MATCH($AA$3,'Городинский'!$A$1:$IV$1,0))</f>
        <v>0</v>
      </c>
      <c r="D10" s="64">
        <f>INDEX('Горох'!A8:IV8,MATCH($AA$3,'Горох'!$A$1:$IV$1,0))</f>
        <v>8</v>
      </c>
      <c r="E10" s="64">
        <f>INDEX('Градусова'!A8:IV8,MATCH($AA$3,'Градусова'!$A$1:$IV$1,0))</f>
        <v>1</v>
      </c>
      <c r="F10" s="64">
        <f>INDEX('Ксеневич'!A8:IV8,MATCH($AA$3,'Ксеневич'!$A$1:$IV$1,0))</f>
        <v>0</v>
      </c>
      <c r="G10" s="64">
        <f>INDEX('Кошель'!A8:IV8,MATCH($AA$3,'Кошель'!$A$1:$IV$1,0))</f>
        <v>0</v>
      </c>
      <c r="H10" s="64">
        <f>INDEX('Новик'!A8:IV8,MATCH($AA$3,'Новик'!$A$1:$IV$1,0))</f>
        <v>0</v>
      </c>
      <c r="I10" s="64">
        <f>INDEX('Савич'!A8:IV8,MATCH($AA$3,'Савич'!$A$1:$IV$1,0))</f>
        <v>0</v>
      </c>
      <c r="J10" s="64">
        <f>INDEX('Котик'!A8:IV8,MATCH($AA$3,'Котик'!$A$1:$IV$1,0))</f>
        <v>0</v>
      </c>
      <c r="K10" s="64">
        <f>INDEX('Фурс'!A8:EJ8,MATCH($AA$3,'Фурс'!$A$1:$EJ$1,0))</f>
        <v>0</v>
      </c>
      <c r="L10" s="64">
        <f>INDEX('Омельчук'!A8:IV8,MATCH($AA$3,'Омельчук'!$A$1:$IV$1,0))</f>
        <v>0</v>
      </c>
      <c r="M10" s="65">
        <f t="shared" ref="M10:M27" si="166">SUM(C10:L10)</f>
        <v>9</v>
      </c>
      <c r="N10" s="2">
        <v>1.5</v>
      </c>
      <c r="O10" s="2">
        <f t="shared" ref="O10:O26" si="167">C10*N10</f>
        <v>0</v>
      </c>
      <c r="P10" s="2">
        <f t="shared" ref="P10:P26" si="168">D10*N10</f>
        <v>12</v>
      </c>
      <c r="Q10" s="2">
        <f t="shared" ref="Q10:Q26" si="169">E10*N10</f>
        <v>1.5</v>
      </c>
      <c r="R10" s="2">
        <f t="shared" ref="R10:R26" si="170">F10*N10</f>
        <v>0</v>
      </c>
      <c r="S10" s="2">
        <f t="shared" ref="S10:S26" si="171">G10*N10</f>
        <v>0</v>
      </c>
      <c r="T10" s="2">
        <f t="shared" ref="T10:T26" si="172">H10*N10</f>
        <v>0</v>
      </c>
      <c r="U10" s="2">
        <f t="shared" ref="U10:U26" si="173">I10*N10</f>
        <v>0</v>
      </c>
      <c r="V10" s="2">
        <f t="shared" ref="V10:V26" si="174">J10*N10</f>
        <v>0</v>
      </c>
      <c r="W10" s="2">
        <f t="shared" ref="W10:W26" si="175">K10*N10</f>
        <v>0</v>
      </c>
      <c r="X10" s="2">
        <f t="shared" ref="X10:X26" si="176">L10*N10</f>
        <v>0</v>
      </c>
      <c r="Y10" s="67">
        <f t="shared" ref="Y10:Y26" si="177">SUM(O10:X10)</f>
        <v>13.5</v>
      </c>
    </row>
    <row r="11" ht="23.75" customHeight="1">
      <c r="A11" s="5" t="s">
        <v>23</v>
      </c>
      <c r="B11" s="2" t="s">
        <v>16</v>
      </c>
      <c r="C11" s="64">
        <f>INDEX('Городинский'!A9:IV9,MATCH($AA$3,'Городинский'!$A$1:$IV$1,0))</f>
        <v>63</v>
      </c>
      <c r="D11" s="64">
        <f>INDEX('Горох'!A9:IV9,MATCH($AA$3,'Горох'!$A$1:$IV$1,0))</f>
        <v>85</v>
      </c>
      <c r="E11" s="64">
        <f>INDEX('Градусова'!A9:IV9,MATCH($AA$3,'Градусова'!$A$1:$IV$1,0))</f>
        <v>463</v>
      </c>
      <c r="F11" s="64">
        <f>INDEX('Ксеневич'!A9:IV9,MATCH($AA$3,'Ксеневич'!$A$1:$IV$1,0))</f>
        <v>250</v>
      </c>
      <c r="G11" s="64">
        <f>INDEX('Кошель'!A9:IV9,MATCH($AA$3,'Кошель'!$A$1:$IV$1,0))</f>
        <v>839</v>
      </c>
      <c r="H11" s="64">
        <f>INDEX('Новик'!A9:IV9,MATCH($AA$3,'Новик'!$A$1:$IV$1,0))</f>
        <v>78</v>
      </c>
      <c r="I11" s="64">
        <f>INDEX('Савич'!A9:IV9,MATCH($AA$3,'Савич'!$A$1:$IV$1,0))</f>
        <v>148</v>
      </c>
      <c r="J11" s="64">
        <f>INDEX('Котик'!A9:IV9,MATCH($AA$3,'Котик'!$A$1:$IV$1,0))</f>
        <v>53</v>
      </c>
      <c r="K11" s="64">
        <f>INDEX('Фурс'!A9:EJ9,MATCH($AA$3,'Фурс'!$A$1:$EJ$1,0))</f>
        <v>25</v>
      </c>
      <c r="L11" s="64">
        <f>INDEX('Омельчук'!A9:IV9,MATCH($AA$3,'Омельчук'!$A$1:$IV$1,0))</f>
        <v>0</v>
      </c>
      <c r="M11" s="65">
        <f t="shared" si="166"/>
        <v>2004</v>
      </c>
      <c r="N11" s="2">
        <v>0.029999999999999999</v>
      </c>
      <c r="O11" s="2">
        <f t="shared" si="167"/>
        <v>1.8899999999999999</v>
      </c>
      <c r="P11" s="2">
        <f t="shared" si="168"/>
        <v>2.5499999999999998</v>
      </c>
      <c r="Q11" s="2">
        <f t="shared" si="169"/>
        <v>13.889999999999999</v>
      </c>
      <c r="R11" s="2">
        <f t="shared" si="170"/>
        <v>7.5</v>
      </c>
      <c r="S11" s="2">
        <f t="shared" si="171"/>
        <v>25.169999999999998</v>
      </c>
      <c r="T11" s="2">
        <f t="shared" si="172"/>
        <v>2.3399999999999999</v>
      </c>
      <c r="U11" s="2">
        <f t="shared" si="173"/>
        <v>4.4399999999999995</v>
      </c>
      <c r="V11" s="2">
        <f t="shared" si="174"/>
        <v>1.5899999999999999</v>
      </c>
      <c r="W11" s="2">
        <f t="shared" si="175"/>
        <v>0.75</v>
      </c>
      <c r="X11" s="2">
        <f t="shared" si="176"/>
        <v>0</v>
      </c>
      <c r="Y11" s="67">
        <f t="shared" si="177"/>
        <v>60.120000000000005</v>
      </c>
    </row>
    <row r="12" ht="23.75" customHeight="1">
      <c r="A12" s="5" t="s">
        <v>24</v>
      </c>
      <c r="B12" s="2" t="s">
        <v>16</v>
      </c>
      <c r="C12" s="64">
        <f>INDEX('Городинский'!A10:IV10,MATCH($AA$3,'Городинский'!$A$1:$IV$1,0))</f>
        <v>22</v>
      </c>
      <c r="D12" s="64">
        <f>INDEX('Горох'!A10:IV10,MATCH($AA$3,'Горох'!$A$1:$IV$1,0))</f>
        <v>101</v>
      </c>
      <c r="E12" s="64">
        <f>INDEX('Градусова'!A10:IV10,MATCH($AA$3,'Градусова'!$A$1:$IV$1,0))</f>
        <v>263</v>
      </c>
      <c r="F12" s="64">
        <f>INDEX('Ксеневич'!A10:IV10,MATCH($AA$3,'Ксеневич'!$A$1:$IV$1,0))</f>
        <v>91</v>
      </c>
      <c r="G12" s="64">
        <f>INDEX('Кошель'!A10:IV10,MATCH($AA$3,'Кошель'!$A$1:$IV$1,0))</f>
        <v>839</v>
      </c>
      <c r="H12" s="64">
        <f>INDEX('Новик'!A10:IV10,MATCH($AA$3,'Новик'!$A$1:$IV$1,0))</f>
        <v>96</v>
      </c>
      <c r="I12" s="64">
        <f>INDEX('Савич'!A10:IV10,MATCH($AA$3,'Савич'!$A$1:$IV$1,0))</f>
        <v>218</v>
      </c>
      <c r="J12" s="64">
        <f>INDEX('Котик'!A10:IV10,MATCH($AA$3,'Котик'!$A$1:$IV$1,0))</f>
        <v>30</v>
      </c>
      <c r="K12" s="64">
        <f>INDEX('Фурс'!A10:EJ10,MATCH($AA$3,'Фурс'!$A$1:$EJ$1,0))</f>
        <v>18</v>
      </c>
      <c r="L12" s="64">
        <f>INDEX('Омельчук'!A10:IV10,MATCH($AA$3,'Омельчук'!$A$1:$IV$1,0))</f>
        <v>0</v>
      </c>
      <c r="M12" s="65">
        <f t="shared" si="166"/>
        <v>1678</v>
      </c>
      <c r="N12" s="2">
        <v>0.12</v>
      </c>
      <c r="O12" s="2">
        <f t="shared" si="167"/>
        <v>2.6399999999999997</v>
      </c>
      <c r="P12" s="2">
        <f t="shared" si="168"/>
        <v>12.119999999999999</v>
      </c>
      <c r="Q12" s="2">
        <f t="shared" si="169"/>
        <v>31.559999999999999</v>
      </c>
      <c r="R12" s="2">
        <f t="shared" si="170"/>
        <v>10.92</v>
      </c>
      <c r="S12" s="2">
        <f t="shared" si="171"/>
        <v>100.67999999999999</v>
      </c>
      <c r="T12" s="2">
        <f t="shared" si="172"/>
        <v>11.52</v>
      </c>
      <c r="U12" s="2">
        <f t="shared" si="173"/>
        <v>26.16</v>
      </c>
      <c r="V12" s="2">
        <f t="shared" si="174"/>
        <v>3.5999999999999996</v>
      </c>
      <c r="W12" s="2">
        <f t="shared" si="175"/>
        <v>2.1600000000000001</v>
      </c>
      <c r="X12" s="2">
        <f t="shared" si="176"/>
        <v>0</v>
      </c>
      <c r="Y12" s="67">
        <f t="shared" si="177"/>
        <v>201.35999999999999</v>
      </c>
    </row>
    <row r="13" ht="23.75" customHeight="1">
      <c r="A13" s="5" t="s">
        <v>25</v>
      </c>
      <c r="B13" s="2" t="s">
        <v>16</v>
      </c>
      <c r="C13" s="64">
        <f>INDEX('Городинский'!A11:IV11,MATCH($AA$3,'Городинский'!$A$1:$IV$1,0))</f>
        <v>0</v>
      </c>
      <c r="D13" s="64">
        <f>INDEX('Горох'!A11:IV11,MATCH($AA$3,'Горох'!$A$1:$IV$1,0))</f>
        <v>0</v>
      </c>
      <c r="E13" s="64">
        <f>INDEX('Градусова'!A11:IV11,MATCH($AA$3,'Градусова'!$A$1:$IV$1,0))</f>
        <v>0</v>
      </c>
      <c r="F13" s="64">
        <f>INDEX('Ксеневич'!A11:IV11,MATCH($AA$3,'Ксеневич'!$A$1:$IV$1,0))</f>
        <v>0</v>
      </c>
      <c r="G13" s="64">
        <f>INDEX('Кошель'!A11:IV11,MATCH($AA$3,'Кошель'!$A$1:$IV$1,0))</f>
        <v>0</v>
      </c>
      <c r="H13" s="64">
        <f>INDEX('Новик'!A11:IV11,MATCH($AA$3,'Новик'!$A$1:$IV$1,0))</f>
        <v>0</v>
      </c>
      <c r="I13" s="64">
        <f>INDEX('Савич'!A11:IV11,MATCH($AA$3,'Савич'!$A$1:$IV$1,0))</f>
        <v>0</v>
      </c>
      <c r="J13" s="64">
        <f>INDEX('Котик'!A11:IV11,MATCH($AA$3,'Котик'!$A$1:$IV$1,0))</f>
        <v>0</v>
      </c>
      <c r="K13" s="64">
        <f>INDEX('Фурс'!A11:EJ11,MATCH($AA$3,'Фурс'!$A$1:$EJ$1,0))</f>
        <v>0</v>
      </c>
      <c r="L13" s="64">
        <f>INDEX('Омельчук'!A11:IV11,MATCH($AA$3,'Омельчук'!$A$1:$IV$1,0))</f>
        <v>0</v>
      </c>
      <c r="M13" s="65">
        <f t="shared" si="166"/>
        <v>0</v>
      </c>
      <c r="N13" s="2">
        <v>0.57999999999999996</v>
      </c>
      <c r="O13" s="2">
        <f t="shared" si="167"/>
        <v>0</v>
      </c>
      <c r="P13" s="2">
        <f t="shared" si="168"/>
        <v>0</v>
      </c>
      <c r="Q13" s="2">
        <f t="shared" si="169"/>
        <v>0</v>
      </c>
      <c r="R13" s="2">
        <f t="shared" si="170"/>
        <v>0</v>
      </c>
      <c r="S13" s="2">
        <f t="shared" si="171"/>
        <v>0</v>
      </c>
      <c r="T13" s="2">
        <f t="shared" si="172"/>
        <v>0</v>
      </c>
      <c r="U13" s="2">
        <f t="shared" si="173"/>
        <v>0</v>
      </c>
      <c r="V13" s="2">
        <f t="shared" si="174"/>
        <v>0</v>
      </c>
      <c r="W13" s="2">
        <f t="shared" si="175"/>
        <v>0</v>
      </c>
      <c r="X13" s="2">
        <f t="shared" si="176"/>
        <v>0</v>
      </c>
      <c r="Y13" s="67">
        <f t="shared" si="177"/>
        <v>0</v>
      </c>
    </row>
    <row r="14" ht="23.75" customHeight="1">
      <c r="A14" s="5" t="s">
        <v>26</v>
      </c>
      <c r="B14" s="2" t="s">
        <v>16</v>
      </c>
      <c r="C14" s="64">
        <f>INDEX('Городинский'!A12:IV12,MATCH($AA$3,'Городинский'!$A$1:$IV$1,0))</f>
        <v>0</v>
      </c>
      <c r="D14" s="64">
        <f>INDEX('Горох'!A12:IV12,MATCH($AA$3,'Горох'!$A$1:$IV$1,0))</f>
        <v>0</v>
      </c>
      <c r="E14" s="64">
        <f>INDEX('Градусова'!A12:IV12,MATCH($AA$3,'Градусова'!$A$1:$IV$1,0))</f>
        <v>3</v>
      </c>
      <c r="F14" s="64">
        <f>INDEX('Ксеневич'!A12:IV12,MATCH($AA$3,'Ксеневич'!$A$1:$IV$1,0))</f>
        <v>0</v>
      </c>
      <c r="G14" s="64">
        <f>INDEX('Кошель'!A12:IV12,MATCH($AA$3,'Кошель'!$A$1:$IV$1,0))</f>
        <v>0</v>
      </c>
      <c r="H14" s="64">
        <f>INDEX('Новик'!A12:IV12,MATCH($AA$3,'Новик'!$A$1:$IV$1,0))</f>
        <v>2</v>
      </c>
      <c r="I14" s="64">
        <f>INDEX('Савич'!A12:IV12,MATCH($AA$3,'Савич'!$A$1:$IV$1,0))</f>
        <v>0</v>
      </c>
      <c r="J14" s="64">
        <f>INDEX('Котик'!A12:IV12,MATCH($AA$3,'Котик'!$A$1:$IV$1,0))</f>
        <v>0</v>
      </c>
      <c r="K14" s="64">
        <f>INDEX('Фурс'!A12:EJ12,MATCH($AA$3,'Фурс'!$A$1:$EJ$1,0))</f>
        <v>0</v>
      </c>
      <c r="L14" s="64">
        <f>INDEX('Омельчук'!A12:IV12,MATCH($AA$3,'Омельчук'!$A$1:$IV$1,0))</f>
        <v>0</v>
      </c>
      <c r="M14" s="65">
        <f t="shared" si="166"/>
        <v>5</v>
      </c>
      <c r="N14" s="2">
        <v>0.17000000000000001</v>
      </c>
      <c r="O14" s="2">
        <f t="shared" si="167"/>
        <v>0</v>
      </c>
      <c r="P14" s="2">
        <f t="shared" si="168"/>
        <v>0</v>
      </c>
      <c r="Q14" s="2">
        <f t="shared" si="169"/>
        <v>0.51000000000000001</v>
      </c>
      <c r="R14" s="2">
        <f t="shared" si="170"/>
        <v>0</v>
      </c>
      <c r="S14" s="2">
        <f t="shared" si="171"/>
        <v>0</v>
      </c>
      <c r="T14" s="2">
        <f t="shared" si="172"/>
        <v>0.34000000000000002</v>
      </c>
      <c r="U14" s="2">
        <f t="shared" si="173"/>
        <v>0</v>
      </c>
      <c r="V14" s="2">
        <f t="shared" si="174"/>
        <v>0</v>
      </c>
      <c r="W14" s="2">
        <f t="shared" si="175"/>
        <v>0</v>
      </c>
      <c r="X14" s="2">
        <f t="shared" si="176"/>
        <v>0</v>
      </c>
      <c r="Y14" s="67">
        <f t="shared" si="177"/>
        <v>0.85000000000000009</v>
      </c>
    </row>
    <row r="15" ht="23.75" customHeight="1">
      <c r="A15" s="5" t="s">
        <v>27</v>
      </c>
      <c r="B15" s="2" t="s">
        <v>16</v>
      </c>
      <c r="C15" s="64">
        <f>INDEX('Городинский'!A13:IV13,MATCH($AA$3,'Городинский'!$A$1:$IV$1,0))</f>
        <v>0</v>
      </c>
      <c r="D15" s="64">
        <f>INDEX('Горох'!A13:IV13,MATCH($AA$3,'Горох'!$A$1:$IV$1,0))</f>
        <v>19</v>
      </c>
      <c r="E15" s="64">
        <f>INDEX('Градусова'!A13:IV13,MATCH($AA$3,'Градусова'!$A$1:$IV$1,0))</f>
        <v>0</v>
      </c>
      <c r="F15" s="64">
        <f>INDEX('Ксеневич'!A13:IV13,MATCH($AA$3,'Ксеневич'!$A$1:$IV$1,0))</f>
        <v>0</v>
      </c>
      <c r="G15" s="64">
        <f>INDEX('Кошель'!A13:IV13,MATCH($AA$3,'Кошель'!$A$1:$IV$1,0))</f>
        <v>0</v>
      </c>
      <c r="H15" s="64">
        <f>INDEX('Новик'!A13:IV13,MATCH($AA$3,'Новик'!$A$1:$IV$1,0))</f>
        <v>0</v>
      </c>
      <c r="I15" s="64">
        <f>INDEX('Савич'!A13:IV13,MATCH($AA$3,'Савич'!$A$1:$IV$1,0))</f>
        <v>0</v>
      </c>
      <c r="J15" s="64">
        <f>INDEX('Котик'!A13:IV13,MATCH($AA$3,'Котик'!$A$1:$IV$1,0))</f>
        <v>0</v>
      </c>
      <c r="K15" s="64">
        <f>INDEX('Фурс'!A13:EJ13,MATCH($AA$3,'Фурс'!$A$1:$EJ$1,0))</f>
        <v>0</v>
      </c>
      <c r="L15" s="64">
        <f>INDEX('Омельчук'!A13:IV13,MATCH($AA$3,'Омельчук'!$A$1:$IV$1,0))</f>
        <v>0</v>
      </c>
      <c r="M15" s="65">
        <f t="shared" si="166"/>
        <v>19</v>
      </c>
      <c r="N15" s="2">
        <v>0.17000000000000001</v>
      </c>
      <c r="O15" s="2">
        <f t="shared" si="167"/>
        <v>0</v>
      </c>
      <c r="P15" s="2">
        <f t="shared" si="168"/>
        <v>3.2300000000000004</v>
      </c>
      <c r="Q15" s="2">
        <f t="shared" si="169"/>
        <v>0</v>
      </c>
      <c r="R15" s="2">
        <f t="shared" si="170"/>
        <v>0</v>
      </c>
      <c r="S15" s="2">
        <f t="shared" si="171"/>
        <v>0</v>
      </c>
      <c r="T15" s="2">
        <f t="shared" si="172"/>
        <v>0</v>
      </c>
      <c r="U15" s="2">
        <f t="shared" si="173"/>
        <v>0</v>
      </c>
      <c r="V15" s="2">
        <f t="shared" si="174"/>
        <v>0</v>
      </c>
      <c r="W15" s="2">
        <f t="shared" si="175"/>
        <v>0</v>
      </c>
      <c r="X15" s="2">
        <f t="shared" si="176"/>
        <v>0</v>
      </c>
      <c r="Y15" s="67">
        <f t="shared" si="177"/>
        <v>3.2300000000000004</v>
      </c>
    </row>
    <row r="16" ht="23.75" customHeight="1">
      <c r="A16" s="5" t="s">
        <v>28</v>
      </c>
      <c r="B16" s="2" t="s">
        <v>16</v>
      </c>
      <c r="C16" s="64">
        <f>INDEX('Городинский'!A14:IV14,MATCH($AA$3,'Городинский'!$A$1:$IV$1,0))</f>
        <v>0</v>
      </c>
      <c r="D16" s="64">
        <f>INDEX('Горох'!A14:IV14,MATCH($AA$3,'Горох'!$A$1:$IV$1,0))</f>
        <v>0</v>
      </c>
      <c r="E16" s="64">
        <f>INDEX('Градусова'!A14:IV14,MATCH($AA$3,'Градусова'!$A$1:$IV$1,0))</f>
        <v>0</v>
      </c>
      <c r="F16" s="64">
        <f>INDEX('Ксеневич'!A14:IV14,MATCH($AA$3,'Ксеневич'!$A$1:$IV$1,0))</f>
        <v>0</v>
      </c>
      <c r="G16" s="64">
        <f>INDEX('Кошель'!A14:IV14,MATCH($AA$3,'Кошель'!$A$1:$IV$1,0))</f>
        <v>0</v>
      </c>
      <c r="H16" s="64">
        <f>INDEX('Новик'!A14:IV14,MATCH($AA$3,'Новик'!$A$1:$IV$1,0))</f>
        <v>0</v>
      </c>
      <c r="I16" s="64">
        <f>INDEX('Савич'!A14:IV14,MATCH($AA$3,'Савич'!$A$1:$IV$1,0))</f>
        <v>0</v>
      </c>
      <c r="J16" s="64">
        <f>INDEX('Котик'!A14:IV14,MATCH($AA$3,'Котик'!$A$1:$IV$1,0))</f>
        <v>0</v>
      </c>
      <c r="K16" s="64">
        <f>INDEX('Фурс'!A14:EJ14,MATCH($AA$3,'Фурс'!$A$1:$EJ$1,0))</f>
        <v>0</v>
      </c>
      <c r="L16" s="64">
        <f>INDEX('Омельчук'!A14:IV14,MATCH($AA$3,'Омельчук'!$A$1:$IV$1,0))</f>
        <v>0</v>
      </c>
      <c r="M16" s="65">
        <f t="shared" si="166"/>
        <v>0</v>
      </c>
      <c r="N16" s="2">
        <v>0.67000000000000004</v>
      </c>
      <c r="O16" s="2">
        <f t="shared" si="167"/>
        <v>0</v>
      </c>
      <c r="P16" s="2">
        <f t="shared" si="168"/>
        <v>0</v>
      </c>
      <c r="Q16" s="2">
        <f t="shared" si="169"/>
        <v>0</v>
      </c>
      <c r="R16" s="2">
        <f t="shared" si="170"/>
        <v>0</v>
      </c>
      <c r="S16" s="2">
        <f t="shared" si="171"/>
        <v>0</v>
      </c>
      <c r="T16" s="2">
        <f t="shared" si="172"/>
        <v>0</v>
      </c>
      <c r="U16" s="2">
        <f t="shared" si="173"/>
        <v>0</v>
      </c>
      <c r="V16" s="2">
        <f t="shared" si="174"/>
        <v>0</v>
      </c>
      <c r="W16" s="2">
        <f t="shared" si="175"/>
        <v>0</v>
      </c>
      <c r="X16" s="2">
        <f t="shared" si="176"/>
        <v>0</v>
      </c>
      <c r="Y16" s="67">
        <f t="shared" si="177"/>
        <v>0</v>
      </c>
    </row>
    <row r="17" ht="23.75" customHeight="1">
      <c r="A17" s="5" t="s">
        <v>29</v>
      </c>
      <c r="B17" s="2" t="s">
        <v>16</v>
      </c>
      <c r="C17" s="64">
        <f>INDEX('Городинский'!A15:IV15,MATCH($AA$3,'Городинский'!$A$1:$IV$1,0))</f>
        <v>530</v>
      </c>
      <c r="D17" s="64">
        <f>INDEX('Горох'!A15:IV15,MATCH($AA$3,'Горох'!$A$1:$IV$1,0))</f>
        <v>256</v>
      </c>
      <c r="E17" s="64">
        <f>INDEX('Градусова'!A15:IV15,MATCH($AA$3,'Градусова'!$A$1:$IV$1,0))</f>
        <v>572</v>
      </c>
      <c r="F17" s="64">
        <f>INDEX('Ксеневич'!A15:IV15,MATCH($AA$3,'Ксеневич'!$A$1:$IV$1,0))</f>
        <v>70</v>
      </c>
      <c r="G17" s="64">
        <f>INDEX('Кошель'!A15:IV15,MATCH($AA$3,'Кошель'!$A$1:$IV$1,0))</f>
        <v>0</v>
      </c>
      <c r="H17" s="64">
        <f>INDEX('Новик'!A15:IV15,MATCH($AA$3,'Новик'!$A$1:$IV$1,0))</f>
        <v>47</v>
      </c>
      <c r="I17" s="64">
        <f>INDEX('Савич'!A15:IV15,MATCH($AA$3,'Савич'!$A$1:$IV$1,0))</f>
        <v>394</v>
      </c>
      <c r="J17" s="64">
        <f>INDEX('Котик'!A15:IV15,MATCH($AA$3,'Котик'!$A$1:$IV$1,0))</f>
        <v>125</v>
      </c>
      <c r="K17" s="64">
        <f>INDEX('Фурс'!A15:EJ15,MATCH($AA$3,'Фурс'!$A$1:$EJ$1,0))</f>
        <v>25</v>
      </c>
      <c r="L17" s="64">
        <f>INDEX('Омельчук'!A15:IV15,MATCH($AA$3,'Омельчук'!$A$1:$IV$1,0))</f>
        <v>0</v>
      </c>
      <c r="M17" s="65">
        <f t="shared" si="166"/>
        <v>2019</v>
      </c>
      <c r="N17" s="2">
        <v>0.12</v>
      </c>
      <c r="O17" s="2">
        <f t="shared" si="167"/>
        <v>63.599999999999994</v>
      </c>
      <c r="P17" s="2">
        <f t="shared" si="168"/>
        <v>30.719999999999999</v>
      </c>
      <c r="Q17" s="2">
        <f t="shared" si="169"/>
        <v>68.640000000000001</v>
      </c>
      <c r="R17" s="2">
        <f t="shared" si="170"/>
        <v>8.4000000000000004</v>
      </c>
      <c r="S17" s="2">
        <f t="shared" si="171"/>
        <v>0</v>
      </c>
      <c r="T17" s="2">
        <f t="shared" si="172"/>
        <v>5.6399999999999997</v>
      </c>
      <c r="U17" s="2">
        <f t="shared" si="173"/>
        <v>47.280000000000001</v>
      </c>
      <c r="V17" s="2">
        <f t="shared" si="174"/>
        <v>15</v>
      </c>
      <c r="W17" s="2">
        <f t="shared" si="175"/>
        <v>3</v>
      </c>
      <c r="X17" s="2">
        <f t="shared" si="176"/>
        <v>0</v>
      </c>
      <c r="Y17" s="67">
        <f t="shared" si="177"/>
        <v>242.27999999999997</v>
      </c>
    </row>
    <row r="18" ht="23.75" customHeight="1">
      <c r="A18" s="5" t="s">
        <v>30</v>
      </c>
      <c r="B18" s="2" t="s">
        <v>22</v>
      </c>
      <c r="C18" s="64">
        <f>INDEX('Городинский'!A16:IV16,MATCH($AA$3,'Городинский'!$A$1:$IV$1,0))</f>
        <v>0</v>
      </c>
      <c r="D18" s="64">
        <f>INDEX('Горох'!A16:IV16,MATCH($AA$3,'Горох'!$A$1:$IV$1,0))</f>
        <v>0</v>
      </c>
      <c r="E18" s="64">
        <f>INDEX('Градусова'!A16:IV16,MATCH($AA$3,'Градусова'!$A$1:$IV$1,0))</f>
        <v>0</v>
      </c>
      <c r="F18" s="64">
        <f>INDEX('Ксеневич'!A16:IV16,MATCH($AA$3,'Ксеневич'!$A$1:$IV$1,0))</f>
        <v>0</v>
      </c>
      <c r="G18" s="64">
        <f>INDEX('Кошель'!A16:IV16,MATCH($AA$3,'Кошель'!$A$1:$IV$1,0))</f>
        <v>0</v>
      </c>
      <c r="H18" s="64">
        <f>INDEX('Новик'!A16:IV16,MATCH($AA$3,'Новик'!$A$1:$IV$1,0))</f>
        <v>0</v>
      </c>
      <c r="I18" s="64">
        <f>INDEX('Савич'!A16:IV16,MATCH($AA$3,'Савич'!$A$1:$IV$1,0))</f>
        <v>0</v>
      </c>
      <c r="J18" s="64">
        <f>INDEX('Котик'!A16:IV16,MATCH($AA$3,'Котик'!$A$1:$IV$1,0))</f>
        <v>0</v>
      </c>
      <c r="K18" s="64">
        <f>INDEX('Фурс'!A16:EJ16,MATCH($AA$3,'Фурс'!$A$1:$EJ$1,0))</f>
        <v>0</v>
      </c>
      <c r="L18" s="64">
        <f>INDEX('Омельчук'!A16:IV16,MATCH($AA$3,'Омельчук'!$A$1:$IV$1,0))</f>
        <v>0</v>
      </c>
      <c r="M18" s="65">
        <f t="shared" si="166"/>
        <v>0</v>
      </c>
      <c r="N18" s="2">
        <v>0.41999999999999998</v>
      </c>
      <c r="O18" s="2">
        <f t="shared" si="167"/>
        <v>0</v>
      </c>
      <c r="P18" s="2">
        <f t="shared" si="168"/>
        <v>0</v>
      </c>
      <c r="Q18" s="2">
        <f t="shared" si="169"/>
        <v>0</v>
      </c>
      <c r="R18" s="2">
        <f t="shared" si="170"/>
        <v>0</v>
      </c>
      <c r="S18" s="2">
        <f t="shared" si="171"/>
        <v>0</v>
      </c>
      <c r="T18" s="2">
        <f t="shared" si="172"/>
        <v>0</v>
      </c>
      <c r="U18" s="2">
        <f t="shared" si="173"/>
        <v>0</v>
      </c>
      <c r="V18" s="2">
        <f t="shared" si="174"/>
        <v>0</v>
      </c>
      <c r="W18" s="2">
        <f t="shared" si="175"/>
        <v>0</v>
      </c>
      <c r="X18" s="2">
        <f t="shared" si="176"/>
        <v>0</v>
      </c>
      <c r="Y18" s="67">
        <f t="shared" si="177"/>
        <v>0</v>
      </c>
    </row>
    <row r="19" ht="23.75" customHeight="1">
      <c r="A19" s="5" t="s">
        <v>31</v>
      </c>
      <c r="B19" s="2" t="s">
        <v>16</v>
      </c>
      <c r="C19" s="64">
        <f>INDEX('Городинский'!A17:IV17,MATCH($AA$3,'Городинский'!$A$1:$IV$1,0))</f>
        <v>0</v>
      </c>
      <c r="D19" s="64">
        <f>INDEX('Горох'!A17:IV17,MATCH($AA$3,'Горох'!$A$1:$IV$1,0))</f>
        <v>0</v>
      </c>
      <c r="E19" s="64">
        <f>INDEX('Градусова'!A17:IV17,MATCH($AA$3,'Градусова'!$A$1:$IV$1,0))</f>
        <v>0</v>
      </c>
      <c r="F19" s="64">
        <f>INDEX('Ксеневич'!A17:IV17,MATCH($AA$3,'Ксеневич'!$A$1:$IV$1,0))</f>
        <v>0</v>
      </c>
      <c r="G19" s="64">
        <f>INDEX('Кошель'!A17:IV17,MATCH($AA$3,'Кошель'!$A$1:$IV$1,0))</f>
        <v>0</v>
      </c>
      <c r="H19" s="64">
        <f>INDEX('Новик'!A17:IV17,MATCH($AA$3,'Новик'!$A$1:$IV$1,0))</f>
        <v>0</v>
      </c>
      <c r="I19" s="64">
        <f>INDEX('Савич'!A17:IV17,MATCH($AA$3,'Савич'!$A$1:$IV$1,0))</f>
        <v>0</v>
      </c>
      <c r="J19" s="64">
        <f>INDEX('Котик'!A17:IV17,MATCH($AA$3,'Котик'!$A$1:$IV$1,0))</f>
        <v>0</v>
      </c>
      <c r="K19" s="64">
        <f>INDEX('Фурс'!A17:EJ17,MATCH($AA$3,'Фурс'!$A$1:$EJ$1,0))</f>
        <v>0</v>
      </c>
      <c r="L19" s="64">
        <f>INDEX('Омельчук'!A17:IV17,MATCH($AA$3,'Омельчук'!$A$1:$IV$1,0))</f>
        <v>0</v>
      </c>
      <c r="M19" s="65">
        <f t="shared" si="166"/>
        <v>0</v>
      </c>
      <c r="N19" s="2">
        <v>1</v>
      </c>
      <c r="O19" s="2">
        <f t="shared" si="167"/>
        <v>0</v>
      </c>
      <c r="P19" s="2">
        <f t="shared" si="168"/>
        <v>0</v>
      </c>
      <c r="Q19" s="2">
        <f t="shared" si="169"/>
        <v>0</v>
      </c>
      <c r="R19" s="2">
        <f t="shared" si="170"/>
        <v>0</v>
      </c>
      <c r="S19" s="2">
        <f t="shared" si="171"/>
        <v>0</v>
      </c>
      <c r="T19" s="2">
        <f t="shared" si="172"/>
        <v>0</v>
      </c>
      <c r="U19" s="2">
        <f t="shared" si="173"/>
        <v>0</v>
      </c>
      <c r="V19" s="2">
        <f t="shared" si="174"/>
        <v>0</v>
      </c>
      <c r="W19" s="2">
        <f t="shared" si="175"/>
        <v>0</v>
      </c>
      <c r="X19" s="2">
        <f t="shared" si="176"/>
        <v>0</v>
      </c>
      <c r="Y19" s="67">
        <f t="shared" si="177"/>
        <v>0</v>
      </c>
    </row>
    <row r="20" ht="23.75" customHeight="1">
      <c r="A20" s="5" t="s">
        <v>32</v>
      </c>
      <c r="B20" s="2" t="s">
        <v>16</v>
      </c>
      <c r="C20" s="64">
        <f>INDEX('Городинский'!A18:IV18,MATCH($AA$3,'Городинский'!$A$1:$IV$1,0))</f>
        <v>30</v>
      </c>
      <c r="D20" s="64">
        <f>INDEX('Горох'!A18:IV18,MATCH($AA$3,'Горох'!$A$1:$IV$1,0))</f>
        <v>4</v>
      </c>
      <c r="E20" s="64">
        <f>INDEX('Градусова'!A18:IV18,MATCH($AA$3,'Градусова'!$A$1:$IV$1,0))</f>
        <v>5</v>
      </c>
      <c r="F20" s="64">
        <f>INDEX('Ксеневич'!A18:IV18,MATCH($AA$3,'Ксеневич'!$A$1:$IV$1,0))</f>
        <v>0</v>
      </c>
      <c r="G20" s="64">
        <f>INDEX('Кошель'!A18:IV18,MATCH($AA$3,'Кошель'!$A$1:$IV$1,0))</f>
        <v>0</v>
      </c>
      <c r="H20" s="64">
        <f>INDEX('Новик'!A18:IV18,MATCH($AA$3,'Новик'!$A$1:$IV$1,0))</f>
        <v>20</v>
      </c>
      <c r="I20" s="64">
        <f>INDEX('Савич'!A18:IV18,MATCH($AA$3,'Савич'!$A$1:$IV$1,0))</f>
        <v>8</v>
      </c>
      <c r="J20" s="64">
        <f>INDEX('Котик'!A18:IV18,MATCH($AA$3,'Котик'!$A$1:$IV$1,0))</f>
        <v>19</v>
      </c>
      <c r="K20" s="64">
        <f>INDEX('Фурс'!A18:EJ18,MATCH($AA$3,'Фурс'!$A$1:$EJ$1,0))</f>
        <v>0</v>
      </c>
      <c r="L20" s="64">
        <f>INDEX('Омельчук'!A18:IV18,MATCH($AA$3,'Омельчук'!$A$1:$IV$1,0))</f>
        <v>1685</v>
      </c>
      <c r="M20" s="65">
        <f t="shared" si="166"/>
        <v>1771</v>
      </c>
      <c r="N20" s="2">
        <v>0.10000000000000001</v>
      </c>
      <c r="O20" s="2">
        <f t="shared" si="167"/>
        <v>3</v>
      </c>
      <c r="P20" s="2">
        <f t="shared" si="168"/>
        <v>0.40000000000000002</v>
      </c>
      <c r="Q20" s="2">
        <f t="shared" si="169"/>
        <v>0.5</v>
      </c>
      <c r="R20" s="2">
        <f t="shared" si="170"/>
        <v>0</v>
      </c>
      <c r="S20" s="2">
        <f t="shared" si="171"/>
        <v>0</v>
      </c>
      <c r="T20" s="2">
        <f t="shared" si="172"/>
        <v>2</v>
      </c>
      <c r="U20" s="2">
        <f t="shared" si="173"/>
        <v>0.80000000000000004</v>
      </c>
      <c r="V20" s="2">
        <f t="shared" si="174"/>
        <v>1.9000000000000001</v>
      </c>
      <c r="W20" s="2">
        <f t="shared" si="175"/>
        <v>0</v>
      </c>
      <c r="X20" s="2">
        <f t="shared" si="176"/>
        <v>168.5</v>
      </c>
      <c r="Y20" s="67">
        <f t="shared" si="177"/>
        <v>177.09999999999999</v>
      </c>
    </row>
    <row r="21" ht="23.75" customHeight="1">
      <c r="A21" s="5" t="s">
        <v>33</v>
      </c>
      <c r="B21" s="2" t="s">
        <v>16</v>
      </c>
      <c r="C21" s="64">
        <f>INDEX('Городинский'!A19:IV19,MATCH($AA$3,'Городинский'!$A$1:$IV$1,0))</f>
        <v>0</v>
      </c>
      <c r="D21" s="64">
        <f>INDEX('Горох'!A19:IV19,MATCH($AA$3,'Горох'!$A$1:$IV$1,0))</f>
        <v>0</v>
      </c>
      <c r="E21" s="64">
        <f>INDEX('Градусова'!A19:IV19,MATCH($AA$3,'Градусова'!$A$1:$IV$1,0))</f>
        <v>0</v>
      </c>
      <c r="F21" s="64">
        <f>INDEX('Ксеневич'!A19:IV19,MATCH($AA$3,'Ксеневич'!$A$1:$IV$1,0))</f>
        <v>0</v>
      </c>
      <c r="G21" s="64">
        <f>INDEX('Кошель'!A19:IV19,MATCH($AA$3,'Кошель'!$A$1:$IV$1,0))</f>
        <v>0</v>
      </c>
      <c r="H21" s="64">
        <f>INDEX('Новик'!A19:IV19,MATCH($AA$3,'Новик'!$A$1:$IV$1,0))</f>
        <v>0</v>
      </c>
      <c r="I21" s="64">
        <f>INDEX('Савич'!A19:IV19,MATCH($AA$3,'Савич'!$A$1:$IV$1,0))</f>
        <v>0</v>
      </c>
      <c r="J21" s="64">
        <f>INDEX('Котик'!A19:IV19,MATCH($AA$3,'Котик'!$A$1:$IV$1,0))</f>
        <v>0</v>
      </c>
      <c r="K21" s="64">
        <f>INDEX('Фурс'!A19:EJ19,MATCH($AA$3,'Фурс'!$A$1:$EJ$1,0))</f>
        <v>0</v>
      </c>
      <c r="L21" s="64">
        <f>INDEX('Омельчук'!A19:IV19,MATCH($AA$3,'Омельчук'!$A$1:$IV$1,0))</f>
        <v>0</v>
      </c>
      <c r="M21" s="65">
        <f t="shared" si="166"/>
        <v>0</v>
      </c>
      <c r="N21" s="2">
        <v>2.6699999999999999</v>
      </c>
      <c r="O21" s="2">
        <f t="shared" si="167"/>
        <v>0</v>
      </c>
      <c r="P21" s="2">
        <f t="shared" si="168"/>
        <v>0</v>
      </c>
      <c r="Q21" s="2">
        <f t="shared" si="169"/>
        <v>0</v>
      </c>
      <c r="R21" s="2">
        <f t="shared" si="170"/>
        <v>0</v>
      </c>
      <c r="S21" s="2">
        <f t="shared" si="171"/>
        <v>0</v>
      </c>
      <c r="T21" s="2">
        <f t="shared" si="172"/>
        <v>0</v>
      </c>
      <c r="U21" s="2">
        <f t="shared" si="173"/>
        <v>0</v>
      </c>
      <c r="V21" s="2">
        <f t="shared" si="174"/>
        <v>0</v>
      </c>
      <c r="W21" s="2">
        <f t="shared" si="175"/>
        <v>0</v>
      </c>
      <c r="X21" s="2">
        <f t="shared" si="176"/>
        <v>0</v>
      </c>
      <c r="Y21" s="67">
        <f t="shared" si="177"/>
        <v>0</v>
      </c>
    </row>
    <row r="22" ht="23.75" customHeight="1">
      <c r="A22" s="5" t="s">
        <v>34</v>
      </c>
      <c r="B22" s="2" t="s">
        <v>16</v>
      </c>
      <c r="C22" s="64">
        <f>INDEX('Городинский'!A20:IV20,MATCH($AA$3,'Городинский'!$A$1:$IV$1,0))</f>
        <v>0</v>
      </c>
      <c r="D22" s="64">
        <f>INDEX('Горох'!A20:IV20,MATCH($AA$3,'Горох'!$A$1:$IV$1,0))</f>
        <v>0</v>
      </c>
      <c r="E22" s="64">
        <f>INDEX('Градусова'!A20:IV20,MATCH($AA$3,'Градусова'!$A$1:$IV$1,0))</f>
        <v>0</v>
      </c>
      <c r="F22" s="64">
        <f>INDEX('Ксеневич'!A20:IV20,MATCH($AA$3,'Ксеневич'!$A$1:$IV$1,0))</f>
        <v>0</v>
      </c>
      <c r="G22" s="64">
        <f>INDEX('Кошель'!A20:IV20,MATCH($AA$3,'Кошель'!$A$1:$IV$1,0))</f>
        <v>0</v>
      </c>
      <c r="H22" s="64">
        <f>INDEX('Новик'!A20:IV20,MATCH($AA$3,'Новик'!$A$1:$IV$1,0))</f>
        <v>0</v>
      </c>
      <c r="I22" s="64">
        <f>INDEX('Савич'!A20:IV20,MATCH($AA$3,'Савич'!$A$1:$IV$1,0))</f>
        <v>0</v>
      </c>
      <c r="J22" s="64">
        <f>INDEX('Котик'!A20:IV20,MATCH($AA$3,'Котик'!$A$1:$IV$1,0))</f>
        <v>0</v>
      </c>
      <c r="K22" s="64">
        <f>INDEX('Фурс'!A20:EJ20,MATCH($AA$3,'Фурс'!$A$1:$EJ$1,0))</f>
        <v>0</v>
      </c>
      <c r="L22" s="64">
        <f>INDEX('Омельчук'!A20:IV20,MATCH($AA$3,'Омельчук'!$A$1:$IV$1,0))</f>
        <v>0</v>
      </c>
      <c r="M22" s="65">
        <f t="shared" si="166"/>
        <v>0</v>
      </c>
      <c r="N22" s="2">
        <v>2.3100000000000001</v>
      </c>
      <c r="O22" s="2">
        <f t="shared" si="167"/>
        <v>0</v>
      </c>
      <c r="P22" s="2">
        <f t="shared" si="168"/>
        <v>0</v>
      </c>
      <c r="Q22" s="2">
        <f t="shared" si="169"/>
        <v>0</v>
      </c>
      <c r="R22" s="2">
        <f t="shared" si="170"/>
        <v>0</v>
      </c>
      <c r="S22" s="2">
        <f t="shared" si="171"/>
        <v>0</v>
      </c>
      <c r="T22" s="2">
        <f t="shared" si="172"/>
        <v>0</v>
      </c>
      <c r="U22" s="2">
        <f t="shared" si="173"/>
        <v>0</v>
      </c>
      <c r="V22" s="2">
        <f t="shared" si="174"/>
        <v>0</v>
      </c>
      <c r="W22" s="2">
        <f t="shared" si="175"/>
        <v>0</v>
      </c>
      <c r="X22" s="2">
        <f t="shared" si="176"/>
        <v>0</v>
      </c>
      <c r="Y22" s="67">
        <f t="shared" si="177"/>
        <v>0</v>
      </c>
    </row>
    <row r="23" ht="23.75" customHeight="1">
      <c r="A23" s="5" t="s">
        <v>35</v>
      </c>
      <c r="B23" s="2" t="s">
        <v>16</v>
      </c>
      <c r="C23" s="64">
        <f>INDEX('Городинский'!A21:IV21,MATCH($AA$3,'Городинский'!$A$1:$IV$1,0))</f>
        <v>0</v>
      </c>
      <c r="D23" s="64">
        <f>INDEX('Горох'!A21:IV21,MATCH($AA$3,'Горох'!$A$1:$IV$1,0))</f>
        <v>0</v>
      </c>
      <c r="E23" s="64">
        <f>INDEX('Градусова'!A21:IV21,MATCH($AA$3,'Градусова'!$A$1:$IV$1,0))</f>
        <v>0</v>
      </c>
      <c r="F23" s="64">
        <f>INDEX('Ксеневич'!A21:IV21,MATCH($AA$3,'Ксеневич'!$A$1:$IV$1,0))</f>
        <v>0</v>
      </c>
      <c r="G23" s="64">
        <f>INDEX('Кошель'!A21:IV21,MATCH($AA$3,'Кошель'!$A$1:$IV$1,0))</f>
        <v>0</v>
      </c>
      <c r="H23" s="64">
        <f>INDEX('Новик'!A21:IV21,MATCH($AA$3,'Новик'!$A$1:$IV$1,0))</f>
        <v>0</v>
      </c>
      <c r="I23" s="64">
        <f>INDEX('Савич'!A21:IV21,MATCH($AA$3,'Савич'!$A$1:$IV$1,0))</f>
        <v>0</v>
      </c>
      <c r="J23" s="64">
        <f>INDEX('Котик'!A21:IV21,MATCH($AA$3,'Котик'!$A$1:$IV$1,0))</f>
        <v>0</v>
      </c>
      <c r="K23" s="64">
        <f>INDEX('Фурс'!A21:EJ21,MATCH($AA$3,'Фурс'!$A$1:$EJ$1,0))</f>
        <v>0</v>
      </c>
      <c r="L23" s="64">
        <f>INDEX('Омельчук'!A21:IV21,MATCH($AA$3,'Омельчук'!$A$1:$IV$1,0))</f>
        <v>0</v>
      </c>
      <c r="M23" s="65">
        <f t="shared" si="166"/>
        <v>0</v>
      </c>
      <c r="N23" s="2">
        <v>0.82999999999999996</v>
      </c>
      <c r="O23" s="2">
        <f t="shared" si="167"/>
        <v>0</v>
      </c>
      <c r="P23" s="2">
        <f t="shared" si="168"/>
        <v>0</v>
      </c>
      <c r="Q23" s="2">
        <f t="shared" si="169"/>
        <v>0</v>
      </c>
      <c r="R23" s="2">
        <f t="shared" si="170"/>
        <v>0</v>
      </c>
      <c r="S23" s="2">
        <f t="shared" si="171"/>
        <v>0</v>
      </c>
      <c r="T23" s="2">
        <f t="shared" si="172"/>
        <v>0</v>
      </c>
      <c r="U23" s="2">
        <f t="shared" si="173"/>
        <v>0</v>
      </c>
      <c r="V23" s="2">
        <f t="shared" si="174"/>
        <v>0</v>
      </c>
      <c r="W23" s="2">
        <f t="shared" si="175"/>
        <v>0</v>
      </c>
      <c r="X23" s="2">
        <f t="shared" si="176"/>
        <v>0</v>
      </c>
      <c r="Y23" s="67">
        <f t="shared" si="177"/>
        <v>0</v>
      </c>
    </row>
    <row r="24" ht="23.75" customHeight="1">
      <c r="A24" s="5" t="s">
        <v>36</v>
      </c>
      <c r="B24" s="2" t="s">
        <v>16</v>
      </c>
      <c r="C24" s="64">
        <f>INDEX('Городинский'!A22:IV22,MATCH($AA$3,'Городинский'!$A$1:$IV$1,0))</f>
        <v>0</v>
      </c>
      <c r="D24" s="64">
        <f>INDEX('Горох'!A22:IV22,MATCH($AA$3,'Горох'!$A$1:$IV$1,0))</f>
        <v>0</v>
      </c>
      <c r="E24" s="64">
        <f>INDEX('Градусова'!A22:IV22,MATCH($AA$3,'Градусова'!$A$1:$IV$1,0))</f>
        <v>0</v>
      </c>
      <c r="F24" s="64">
        <f>INDEX('Ксеневич'!A22:IV22,MATCH($AA$3,'Ксеневич'!$A$1:$IV$1,0))</f>
        <v>0</v>
      </c>
      <c r="G24" s="64">
        <f>INDEX('Кошель'!A22:IV22,MATCH($AA$3,'Кошель'!$A$1:$IV$1,0))</f>
        <v>0</v>
      </c>
      <c r="H24" s="64">
        <f>INDEX('Новик'!A22:IV22,MATCH($AA$3,'Новик'!$A$1:$IV$1,0))</f>
        <v>0</v>
      </c>
      <c r="I24" s="64">
        <f>INDEX('Савич'!A22:IV22,MATCH($AA$3,'Савич'!$A$1:$IV$1,0))</f>
        <v>0</v>
      </c>
      <c r="J24" s="64">
        <f>INDEX('Котик'!A22:IV22,MATCH($AA$3,'Котик'!$A$1:$IV$1,0))</f>
        <v>0</v>
      </c>
      <c r="K24" s="64">
        <f>INDEX('Фурс'!A22:EJ22,MATCH($AA$3,'Фурс'!$A$1:$EJ$1,0))</f>
        <v>0</v>
      </c>
      <c r="L24" s="64">
        <f>INDEX('Омельчук'!A22:IV22,MATCH($AA$3,'Омельчук'!$A$1:$IV$1,0))</f>
        <v>0</v>
      </c>
      <c r="M24" s="65">
        <f t="shared" si="166"/>
        <v>0</v>
      </c>
      <c r="N24" s="2">
        <v>0.12</v>
      </c>
      <c r="O24" s="2">
        <f t="shared" si="167"/>
        <v>0</v>
      </c>
      <c r="P24" s="2">
        <f t="shared" si="168"/>
        <v>0</v>
      </c>
      <c r="Q24" s="2">
        <f t="shared" si="169"/>
        <v>0</v>
      </c>
      <c r="R24" s="2">
        <f t="shared" si="170"/>
        <v>0</v>
      </c>
      <c r="S24" s="2">
        <f t="shared" si="171"/>
        <v>0</v>
      </c>
      <c r="T24" s="2">
        <f t="shared" si="172"/>
        <v>0</v>
      </c>
      <c r="U24" s="2">
        <f t="shared" si="173"/>
        <v>0</v>
      </c>
      <c r="V24" s="2">
        <f t="shared" si="174"/>
        <v>0</v>
      </c>
      <c r="W24" s="2">
        <f t="shared" si="175"/>
        <v>0</v>
      </c>
      <c r="X24" s="2">
        <f t="shared" si="176"/>
        <v>0</v>
      </c>
      <c r="Y24" s="67">
        <f t="shared" si="177"/>
        <v>0</v>
      </c>
    </row>
    <row r="25" ht="23.75" customHeight="1">
      <c r="A25" s="5" t="s">
        <v>37</v>
      </c>
      <c r="B25" s="2" t="s">
        <v>16</v>
      </c>
      <c r="C25" s="64">
        <f>INDEX('Городинский'!A23:IV23,MATCH($AA$3,'Городинский'!$A$1:$IV$1,0))</f>
        <v>0</v>
      </c>
      <c r="D25" s="64">
        <f>INDEX('Горох'!A23:IV23,MATCH($AA$3,'Горох'!$A$1:$IV$1,0))</f>
        <v>0</v>
      </c>
      <c r="E25" s="64">
        <f>INDEX('Градусова'!A23:IV23,MATCH($AA$3,'Градусова'!$A$1:$IV$1,0))</f>
        <v>0</v>
      </c>
      <c r="F25" s="64">
        <f>INDEX('Ксеневич'!A23:IV23,MATCH($AA$3,'Ксеневич'!$A$1:$IV$1,0))</f>
        <v>0</v>
      </c>
      <c r="G25" s="64">
        <f>INDEX('Кошель'!A23:IV23,MATCH($AA$3,'Кошель'!$A$1:$IV$1,0))</f>
        <v>0</v>
      </c>
      <c r="H25" s="64">
        <f>INDEX('Новик'!A23:IV23,MATCH($AA$3,'Новик'!$A$1:$IV$1,0))</f>
        <v>0</v>
      </c>
      <c r="I25" s="64">
        <f>INDEX('Савич'!A23:IV23,MATCH($AA$3,'Савич'!$A$1:$IV$1,0))</f>
        <v>0</v>
      </c>
      <c r="J25" s="64">
        <f>INDEX('Котик'!A23:IV23,MATCH($AA$3,'Котик'!$A$1:$IV$1,0))</f>
        <v>0</v>
      </c>
      <c r="K25" s="64">
        <f>INDEX('Фурс'!A23:EJ23,MATCH($AA$3,'Фурс'!$A$1:$EJ$1,0))</f>
        <v>0</v>
      </c>
      <c r="L25" s="64">
        <f>INDEX('Омельчук'!A23:IV23,MATCH($AA$3,'Омельчук'!$A$1:$IV$1,0))</f>
        <v>0</v>
      </c>
      <c r="M25" s="65">
        <f t="shared" si="166"/>
        <v>0</v>
      </c>
      <c r="N25" s="2">
        <v>2.54</v>
      </c>
      <c r="O25" s="2">
        <f t="shared" si="167"/>
        <v>0</v>
      </c>
      <c r="P25" s="2">
        <f t="shared" si="168"/>
        <v>0</v>
      </c>
      <c r="Q25" s="2">
        <f t="shared" si="169"/>
        <v>0</v>
      </c>
      <c r="R25" s="2">
        <f t="shared" si="170"/>
        <v>0</v>
      </c>
      <c r="S25" s="2">
        <f t="shared" si="171"/>
        <v>0</v>
      </c>
      <c r="T25" s="2">
        <f t="shared" si="172"/>
        <v>0</v>
      </c>
      <c r="U25" s="2">
        <f t="shared" si="173"/>
        <v>0</v>
      </c>
      <c r="V25" s="2">
        <f t="shared" si="174"/>
        <v>0</v>
      </c>
      <c r="W25" s="2">
        <f t="shared" si="175"/>
        <v>0</v>
      </c>
      <c r="X25" s="2">
        <f t="shared" si="176"/>
        <v>0</v>
      </c>
      <c r="Y25" s="67">
        <f t="shared" si="177"/>
        <v>0</v>
      </c>
    </row>
    <row r="26" ht="42.75">
      <c r="A26" s="5" t="s">
        <v>154</v>
      </c>
      <c r="B26" s="2" t="s">
        <v>16</v>
      </c>
      <c r="C26" s="64">
        <f>INDEX('Городинский'!A24:IV24,MATCH($AA$3,'Городинский'!$A$1:$IV$1,0))</f>
        <v>0</v>
      </c>
      <c r="D26" s="64">
        <f>INDEX('Горох'!A24:IV24,MATCH($AA$3,'Горох'!$A$1:$IV$1,0))</f>
        <v>0</v>
      </c>
      <c r="E26" s="64">
        <f>INDEX('Градусова'!A24:IV24,MATCH($AA$3,'Градусова'!$A$1:$IV$1,0))</f>
        <v>0</v>
      </c>
      <c r="F26" s="64">
        <f>INDEX('Ксеневич'!A24:IV24,MATCH($AA$3,'Ксеневич'!$A$1:$IV$1,0))</f>
        <v>0</v>
      </c>
      <c r="G26" s="64">
        <f>INDEX('Кошель'!A24:IV24,MATCH($AA$3,'Кошель'!$A$1:$IV$1,0))</f>
        <v>0</v>
      </c>
      <c r="H26" s="64">
        <f>INDEX('Новик'!A24:IV24,MATCH($AA$3,'Новик'!$A$1:$IV$1,0))</f>
        <v>0</v>
      </c>
      <c r="I26" s="64">
        <f>INDEX('Савич'!A24:IV24,MATCH($AA$3,'Савич'!$A$1:$IV$1,0))</f>
        <v>0</v>
      </c>
      <c r="J26" s="64">
        <f>INDEX('Котик'!A24:IV24,MATCH($AA$3,'Котик'!$A$1:$IV$1,0))</f>
        <v>0</v>
      </c>
      <c r="K26" s="64">
        <f>INDEX('Фурс'!A24:EJ24,MATCH($AA$3,'Фурс'!$A$1:$EJ$1,0))</f>
        <v>0</v>
      </c>
      <c r="L26" s="64">
        <f>INDEX('Омельчук'!A24:IV24,MATCH($AA$3,'Омельчук'!$A$1:$IV$1,0))</f>
        <v>0</v>
      </c>
      <c r="M26" s="65">
        <f t="shared" si="166"/>
        <v>0</v>
      </c>
      <c r="N26" s="2">
        <v>0.01</v>
      </c>
      <c r="O26" s="2">
        <f t="shared" si="167"/>
        <v>0</v>
      </c>
      <c r="P26" s="2">
        <f t="shared" si="168"/>
        <v>0</v>
      </c>
      <c r="Q26" s="2">
        <f t="shared" si="169"/>
        <v>0</v>
      </c>
      <c r="R26" s="2">
        <f t="shared" si="170"/>
        <v>0</v>
      </c>
      <c r="S26" s="2">
        <f t="shared" si="171"/>
        <v>0</v>
      </c>
      <c r="T26" s="2">
        <f t="shared" si="172"/>
        <v>0</v>
      </c>
      <c r="U26" s="2">
        <f t="shared" si="173"/>
        <v>0</v>
      </c>
      <c r="V26" s="2">
        <f t="shared" si="174"/>
        <v>0</v>
      </c>
      <c r="W26" s="2">
        <f t="shared" si="175"/>
        <v>0</v>
      </c>
      <c r="X26" s="2">
        <f t="shared" si="176"/>
        <v>0</v>
      </c>
      <c r="Y26" s="67">
        <f t="shared" si="177"/>
        <v>0</v>
      </c>
    </row>
    <row r="27" ht="14.25">
      <c r="A27" s="5" t="s">
        <v>153</v>
      </c>
      <c r="B27" s="2" t="s">
        <v>16</v>
      </c>
      <c r="C27" s="2">
        <f>SUM(C4:C26)</f>
        <v>935.22000000000003</v>
      </c>
      <c r="D27" s="2">
        <f>SUM(D4:D26)</f>
        <v>2291.9899999999998</v>
      </c>
      <c r="E27" s="2">
        <f>SUM(E4:E26)</f>
        <v>2339.5799999999999</v>
      </c>
      <c r="F27" s="2">
        <f>SUM(F4:F26)</f>
        <v>951.42000000000007</v>
      </c>
      <c r="G27" s="2">
        <f>SUM(G4:G26)</f>
        <v>1678</v>
      </c>
      <c r="H27" s="2">
        <f>SUM(H4:H26)</f>
        <v>3534.4899999999998</v>
      </c>
      <c r="I27" s="2">
        <f>SUM(I4:I26)</f>
        <v>3106.27</v>
      </c>
      <c r="J27" s="2">
        <f>SUM(J4:J26)</f>
        <v>478.59000000000003</v>
      </c>
      <c r="K27" s="2">
        <f>SUM(K4:K26)</f>
        <v>155.16</v>
      </c>
      <c r="L27" s="68">
        <f>SUM(L4:L26)</f>
        <v>1685</v>
      </c>
      <c r="M27" s="65">
        <f t="shared" si="166"/>
        <v>17155.720000000001</v>
      </c>
      <c r="N27" s="2"/>
      <c r="O27" s="69">
        <f>ROUND(SUM(O4:O26),0)</f>
        <v>110</v>
      </c>
      <c r="P27" s="69">
        <f>ROUND(SUM(P4:P26),0)</f>
        <v>311</v>
      </c>
      <c r="Q27" s="69">
        <f>ROUND(SUM(Q4:Q26),0)</f>
        <v>268</v>
      </c>
      <c r="R27" s="69">
        <f>ROUND(SUM(R4:R26),0)</f>
        <v>106</v>
      </c>
      <c r="S27" s="69">
        <f>ROUND(SUM(S4:S26),0)</f>
        <v>126</v>
      </c>
      <c r="T27" s="69">
        <f>ROUND(SUM(T4:T26),0)</f>
        <v>473</v>
      </c>
      <c r="U27" s="69">
        <f>ROUND(SUM(U4:U26),0)</f>
        <v>407</v>
      </c>
      <c r="V27" s="69">
        <f>ROUND(SUM(V4:V26),0)</f>
        <v>57</v>
      </c>
      <c r="W27" s="69">
        <f>ROUND(SUM(W4:W26),0)</f>
        <v>18</v>
      </c>
      <c r="X27" s="69">
        <f>ROUND(SUM(X4:X26),0)</f>
        <v>169</v>
      </c>
      <c r="Y27" s="69">
        <f>ROUND(SUM(Y4:Y26),0)</f>
        <v>2043</v>
      </c>
    </row>
    <row r="28" ht="14.25">
      <c r="A28" s="5" t="s">
        <v>155</v>
      </c>
      <c r="B28" s="2" t="s">
        <v>156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70">
        <f>(O27/D30)</f>
        <v>0.9887640449438202</v>
      </c>
      <c r="P28" s="70">
        <f>(P27/D31)</f>
        <v>1.8402366863905326</v>
      </c>
      <c r="Q28" s="70">
        <f>(Q27/D32)</f>
        <v>1.5227272727272727</v>
      </c>
      <c r="R28" s="70">
        <f>(R27/D33)</f>
        <v>0.63189269746646792</v>
      </c>
      <c r="S28" s="70">
        <f>(S27/D34)</f>
        <v>0.71590909090909094</v>
      </c>
      <c r="T28" s="70">
        <f>(T27/D35)</f>
        <v>3.9581589958158996</v>
      </c>
      <c r="U28" s="70">
        <f>(U27/D36)</f>
        <v>2.3686201478205202</v>
      </c>
      <c r="V28" s="70">
        <f>(V27/D38)</f>
        <v>0.32386363636363635</v>
      </c>
      <c r="W28" s="70">
        <f>(W27/D39)</f>
        <v>0.31858407079646017</v>
      </c>
      <c r="X28" s="70">
        <f>(X27/D37)</f>
        <v>1.007451564828614</v>
      </c>
      <c r="Y28" s="70">
        <f>(Y27/SUM(D30:D37))</f>
        <v>1.6226133367220512</v>
      </c>
    </row>
    <row r="29" ht="14.25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</row>
    <row r="30" ht="13.800000000000001" customHeight="1">
      <c r="A30" s="72" t="s">
        <v>143</v>
      </c>
      <c r="B30" s="73" t="s">
        <v>157</v>
      </c>
      <c r="C30" s="73"/>
      <c r="D30" s="74">
        <f t="shared" ref="D30:D39" si="178">_xlfn.IFS($B$50=$AA$3,D51,$H$50=$AA$3,L51,$Q$50=$AA$3,S51,$Y$50=$AA$3,AA51,$AE$50=$AA$3,AG51,$AK$50=$AA$3,AM51,$AQ$50=$AA$3,AS51,$AW$50=$AA$3,AY51)</f>
        <v>111.25</v>
      </c>
      <c r="E30" s="5" t="s">
        <v>158</v>
      </c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</row>
    <row r="31" ht="13.800000000000001" customHeight="1">
      <c r="A31" s="72" t="s">
        <v>144</v>
      </c>
      <c r="B31" s="73" t="s">
        <v>157</v>
      </c>
      <c r="C31" s="73"/>
      <c r="D31" s="74">
        <f t="shared" si="178"/>
        <v>169</v>
      </c>
      <c r="E31" s="5" t="s">
        <v>158</v>
      </c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</row>
    <row r="32" ht="13.800000000000001" customHeight="1">
      <c r="A32" s="72" t="s">
        <v>145</v>
      </c>
      <c r="B32" s="73" t="s">
        <v>157</v>
      </c>
      <c r="C32" s="73"/>
      <c r="D32" s="74">
        <f t="shared" si="178"/>
        <v>176</v>
      </c>
      <c r="E32" s="5" t="s">
        <v>158</v>
      </c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</row>
    <row r="33" ht="13.800000000000001" customHeight="1">
      <c r="A33" s="72" t="s">
        <v>146</v>
      </c>
      <c r="B33" s="73" t="s">
        <v>157</v>
      </c>
      <c r="C33" s="73"/>
      <c r="D33" s="74">
        <f t="shared" si="178"/>
        <v>167.75</v>
      </c>
      <c r="E33" s="5" t="s">
        <v>158</v>
      </c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</row>
    <row r="34" ht="13.800000000000001" customHeight="1">
      <c r="A34" s="72" t="s">
        <v>147</v>
      </c>
      <c r="B34" s="73" t="s">
        <v>157</v>
      </c>
      <c r="C34" s="73"/>
      <c r="D34" s="74">
        <f t="shared" si="178"/>
        <v>176</v>
      </c>
      <c r="E34" s="5" t="s">
        <v>158</v>
      </c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</row>
    <row r="35" ht="13.800000000000001" customHeight="1">
      <c r="A35" s="72" t="s">
        <v>148</v>
      </c>
      <c r="B35" s="73" t="s">
        <v>157</v>
      </c>
      <c r="C35" s="73"/>
      <c r="D35" s="74">
        <f t="shared" si="178"/>
        <v>119.5</v>
      </c>
      <c r="E35" s="5" t="s">
        <v>158</v>
      </c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</row>
    <row r="36" ht="13.800000000000001" customHeight="1">
      <c r="A36" s="72" t="s">
        <v>149</v>
      </c>
      <c r="B36" s="73" t="s">
        <v>157</v>
      </c>
      <c r="C36" s="73"/>
      <c r="D36" s="74">
        <f t="shared" si="178"/>
        <v>171.83000000000001</v>
      </c>
      <c r="E36" s="5" t="s">
        <v>158</v>
      </c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</row>
    <row r="37" ht="13.800000000000001" customHeight="1">
      <c r="A37" s="72" t="s">
        <v>152</v>
      </c>
      <c r="B37" s="73" t="s">
        <v>157</v>
      </c>
      <c r="C37" s="73"/>
      <c r="D37" s="74">
        <f t="shared" si="178"/>
        <v>167.75</v>
      </c>
      <c r="E37" s="75" t="s">
        <v>158</v>
      </c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</row>
    <row r="38" ht="14.25">
      <c r="A38" s="72" t="s">
        <v>150</v>
      </c>
      <c r="B38" s="73" t="s">
        <v>157</v>
      </c>
      <c r="C38" s="73"/>
      <c r="D38" s="74">
        <f t="shared" si="178"/>
        <v>176</v>
      </c>
      <c r="E38" s="75" t="s">
        <v>158</v>
      </c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</row>
    <row r="39" ht="14.25">
      <c r="A39" s="72" t="s">
        <v>151</v>
      </c>
      <c r="B39" s="73" t="s">
        <v>157</v>
      </c>
      <c r="C39" s="73"/>
      <c r="D39" s="74">
        <f t="shared" si="178"/>
        <v>56.5</v>
      </c>
      <c r="E39" s="75" t="s">
        <v>158</v>
      </c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</row>
    <row r="40" ht="13.800000000000001" customHeight="1"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</row>
    <row r="41" ht="14.25">
      <c r="A41" s="71" t="s">
        <v>159</v>
      </c>
      <c r="B41" s="76" t="s">
        <v>160</v>
      </c>
      <c r="C41" s="76"/>
      <c r="D41" s="77" t="s">
        <v>161</v>
      </c>
      <c r="E41" s="77"/>
    </row>
    <row r="45" ht="12.800000000000001">
      <c r="C45" s="57"/>
    </row>
    <row r="46" ht="12.800000000000001">
      <c r="D46" s="57"/>
    </row>
    <row r="50" ht="12.800000000000001">
      <c r="B50" s="57" t="s">
        <v>2</v>
      </c>
      <c r="H50" s="57" t="s">
        <v>3</v>
      </c>
      <c r="Q50" s="57" t="s">
        <v>4</v>
      </c>
      <c r="Y50" s="57" t="s">
        <v>5</v>
      </c>
      <c r="AE50" s="57" t="s">
        <v>6</v>
      </c>
      <c r="AK50" s="57" t="s">
        <v>7</v>
      </c>
      <c r="AQ50" s="57" t="s">
        <v>8</v>
      </c>
      <c r="AW50" s="57" t="s">
        <v>9</v>
      </c>
      <c r="BB50" s="78"/>
      <c r="BC50" s="78" t="s">
        <v>10</v>
      </c>
      <c r="BD50" s="78"/>
      <c r="BE50" s="78"/>
      <c r="BF50" s="78"/>
    </row>
    <row r="51" ht="23.850000000000001" customHeight="1">
      <c r="A51" s="2" t="s">
        <v>143</v>
      </c>
      <c r="B51" s="73" t="s">
        <v>157</v>
      </c>
      <c r="C51" s="73"/>
      <c r="D51" s="74">
        <v>39</v>
      </c>
      <c r="E51" s="5" t="s">
        <v>158</v>
      </c>
      <c r="G51" s="2" t="s">
        <v>143</v>
      </c>
      <c r="H51" s="73" t="s">
        <v>157</v>
      </c>
      <c r="I51" s="73"/>
      <c r="J51" s="73"/>
      <c r="K51" s="73"/>
      <c r="L51" s="74">
        <v>176</v>
      </c>
      <c r="M51" s="74"/>
      <c r="N51" s="5" t="s">
        <v>158</v>
      </c>
      <c r="P51" s="2" t="s">
        <v>143</v>
      </c>
      <c r="Q51" s="73" t="s">
        <v>157</v>
      </c>
      <c r="R51" s="73"/>
      <c r="S51" s="74">
        <v>175</v>
      </c>
      <c r="T51" s="5" t="s">
        <v>158</v>
      </c>
      <c r="X51" s="2" t="s">
        <v>143</v>
      </c>
      <c r="Y51" s="73" t="s">
        <v>157</v>
      </c>
      <c r="Z51" s="73"/>
      <c r="AA51" s="74">
        <v>159.75</v>
      </c>
      <c r="AB51" s="5" t="s">
        <v>158</v>
      </c>
      <c r="AC51" s="57"/>
      <c r="AD51" s="2" t="s">
        <v>143</v>
      </c>
      <c r="AE51" s="73" t="s">
        <v>157</v>
      </c>
      <c r="AF51" s="73"/>
      <c r="AG51" s="74">
        <v>111.25</v>
      </c>
      <c r="AH51" s="5" t="s">
        <v>158</v>
      </c>
      <c r="AJ51" s="2" t="s">
        <v>143</v>
      </c>
      <c r="AK51" s="73" t="s">
        <v>157</v>
      </c>
      <c r="AL51" s="73"/>
      <c r="AM51" s="74"/>
      <c r="AN51" s="5" t="s">
        <v>158</v>
      </c>
      <c r="AP51" s="2" t="s">
        <v>143</v>
      </c>
      <c r="AQ51" s="73" t="s">
        <v>157</v>
      </c>
      <c r="AR51" s="73"/>
      <c r="AS51" s="74"/>
      <c r="AT51" s="5" t="s">
        <v>158</v>
      </c>
      <c r="AV51" s="2" t="s">
        <v>143</v>
      </c>
      <c r="AW51" s="73" t="s">
        <v>157</v>
      </c>
      <c r="AX51" s="73"/>
      <c r="AY51" s="74"/>
      <c r="AZ51" s="5" t="s">
        <v>158</v>
      </c>
      <c r="BA51" s="57"/>
      <c r="BB51" s="2" t="s">
        <v>143</v>
      </c>
      <c r="BC51" s="79" t="s">
        <v>157</v>
      </c>
      <c r="BD51" s="80"/>
      <c r="BE51" s="74"/>
      <c r="BF51" s="5" t="s">
        <v>158</v>
      </c>
    </row>
    <row r="52" ht="13.800000000000001" customHeight="1">
      <c r="A52" s="2" t="s">
        <v>144</v>
      </c>
      <c r="B52" s="73" t="s">
        <v>157</v>
      </c>
      <c r="C52" s="73"/>
      <c r="D52" s="74">
        <v>143.75</v>
      </c>
      <c r="E52" s="5" t="s">
        <v>158</v>
      </c>
      <c r="G52" s="2" t="s">
        <v>144</v>
      </c>
      <c r="H52" s="73" t="s">
        <v>157</v>
      </c>
      <c r="I52" s="73"/>
      <c r="J52" s="73"/>
      <c r="K52" s="73"/>
      <c r="L52" s="74">
        <v>127.75</v>
      </c>
      <c r="M52" s="74"/>
      <c r="N52" s="5" t="s">
        <v>158</v>
      </c>
      <c r="P52" s="2" t="s">
        <v>144</v>
      </c>
      <c r="Q52" s="73" t="s">
        <v>157</v>
      </c>
      <c r="R52" s="73"/>
      <c r="S52" s="74">
        <v>119.5</v>
      </c>
      <c r="T52" s="5" t="s">
        <v>158</v>
      </c>
      <c r="X52" s="2" t="s">
        <v>144</v>
      </c>
      <c r="Y52" s="73" t="s">
        <v>157</v>
      </c>
      <c r="Z52" s="73"/>
      <c r="AA52" s="74">
        <v>140.25</v>
      </c>
      <c r="AB52" s="5" t="s">
        <v>158</v>
      </c>
      <c r="AC52" s="57"/>
      <c r="AD52" s="2" t="s">
        <v>144</v>
      </c>
      <c r="AE52" s="73" t="s">
        <v>157</v>
      </c>
      <c r="AF52" s="73"/>
      <c r="AG52" s="74">
        <v>169</v>
      </c>
      <c r="AH52" s="5" t="s">
        <v>158</v>
      </c>
      <c r="AJ52" s="2" t="s">
        <v>144</v>
      </c>
      <c r="AK52" s="73" t="s">
        <v>157</v>
      </c>
      <c r="AL52" s="73"/>
      <c r="AM52" s="74"/>
      <c r="AN52" s="5" t="s">
        <v>158</v>
      </c>
      <c r="AP52" s="2" t="s">
        <v>144</v>
      </c>
      <c r="AQ52" s="73" t="s">
        <v>157</v>
      </c>
      <c r="AR52" s="73"/>
      <c r="AS52" s="74"/>
      <c r="AT52" s="5" t="s">
        <v>158</v>
      </c>
      <c r="AV52" s="2" t="s">
        <v>144</v>
      </c>
      <c r="AW52" s="73" t="s">
        <v>157</v>
      </c>
      <c r="AX52" s="73"/>
      <c r="AY52" s="74"/>
      <c r="AZ52" s="5" t="s">
        <v>158</v>
      </c>
      <c r="BA52" s="57"/>
      <c r="BB52" s="2" t="s">
        <v>144</v>
      </c>
      <c r="BC52" s="79" t="s">
        <v>157</v>
      </c>
      <c r="BD52" s="80"/>
      <c r="BE52" s="74"/>
      <c r="BF52" s="5" t="s">
        <v>158</v>
      </c>
    </row>
    <row r="53" ht="13.800000000000001" customHeight="1">
      <c r="A53" s="2" t="s">
        <v>145</v>
      </c>
      <c r="B53" s="73" t="s">
        <v>157</v>
      </c>
      <c r="C53" s="73"/>
      <c r="D53" s="74">
        <v>149.75</v>
      </c>
      <c r="E53" s="5" t="s">
        <v>158</v>
      </c>
      <c r="G53" s="2" t="s">
        <v>145</v>
      </c>
      <c r="H53" s="73" t="s">
        <v>157</v>
      </c>
      <c r="I53" s="73"/>
      <c r="J53" s="73"/>
      <c r="K53" s="73"/>
      <c r="L53" s="74">
        <v>176</v>
      </c>
      <c r="M53" s="74"/>
      <c r="N53" s="5" t="s">
        <v>158</v>
      </c>
      <c r="P53" s="2" t="s">
        <v>145</v>
      </c>
      <c r="Q53" s="73" t="s">
        <v>157</v>
      </c>
      <c r="R53" s="73"/>
      <c r="S53" s="74">
        <v>135</v>
      </c>
      <c r="T53" s="5" t="s">
        <v>158</v>
      </c>
      <c r="X53" s="2" t="s">
        <v>145</v>
      </c>
      <c r="Y53" s="73" t="s">
        <v>157</v>
      </c>
      <c r="Z53" s="73"/>
      <c r="AA53" s="74">
        <v>79.75</v>
      </c>
      <c r="AB53" s="5" t="s">
        <v>158</v>
      </c>
      <c r="AC53" s="57"/>
      <c r="AD53" s="2" t="s">
        <v>145</v>
      </c>
      <c r="AE53" s="73" t="s">
        <v>157</v>
      </c>
      <c r="AF53" s="73"/>
      <c r="AG53" s="74">
        <v>176</v>
      </c>
      <c r="AH53" s="5" t="s">
        <v>158</v>
      </c>
      <c r="AJ53" s="2" t="s">
        <v>145</v>
      </c>
      <c r="AK53" s="73" t="s">
        <v>157</v>
      </c>
      <c r="AL53" s="73"/>
      <c r="AM53" s="74"/>
      <c r="AN53" s="5" t="s">
        <v>158</v>
      </c>
      <c r="AP53" s="2" t="s">
        <v>145</v>
      </c>
      <c r="AQ53" s="73" t="s">
        <v>157</v>
      </c>
      <c r="AR53" s="73"/>
      <c r="AS53" s="74"/>
      <c r="AT53" s="5" t="s">
        <v>158</v>
      </c>
      <c r="AV53" s="2" t="s">
        <v>145</v>
      </c>
      <c r="AW53" s="73" t="s">
        <v>157</v>
      </c>
      <c r="AX53" s="73"/>
      <c r="AY53" s="74"/>
      <c r="AZ53" s="5" t="s">
        <v>158</v>
      </c>
      <c r="BA53" s="57"/>
      <c r="BB53" s="2" t="s">
        <v>145</v>
      </c>
      <c r="BC53" s="79" t="s">
        <v>157</v>
      </c>
      <c r="BD53" s="80"/>
      <c r="BE53" s="74"/>
      <c r="BF53" s="5" t="s">
        <v>158</v>
      </c>
    </row>
    <row r="54" ht="13.800000000000001" customHeight="1">
      <c r="A54" s="2" t="s">
        <v>146</v>
      </c>
      <c r="B54" s="73" t="s">
        <v>157</v>
      </c>
      <c r="C54" s="73"/>
      <c r="D54" s="74">
        <v>70.75</v>
      </c>
      <c r="E54" s="5" t="s">
        <v>158</v>
      </c>
      <c r="G54" s="2" t="s">
        <v>146</v>
      </c>
      <c r="H54" s="73" t="s">
        <v>157</v>
      </c>
      <c r="I54" s="73"/>
      <c r="J54" s="73"/>
      <c r="K54" s="73"/>
      <c r="L54" s="74">
        <v>85.75</v>
      </c>
      <c r="M54" s="74"/>
      <c r="N54" s="5" t="s">
        <v>158</v>
      </c>
      <c r="P54" s="2" t="s">
        <v>146</v>
      </c>
      <c r="Q54" s="73" t="s">
        <v>157</v>
      </c>
      <c r="R54" s="73"/>
      <c r="S54" s="74">
        <v>156.5</v>
      </c>
      <c r="T54" s="5" t="s">
        <v>158</v>
      </c>
      <c r="X54" s="2" t="s">
        <v>146</v>
      </c>
      <c r="Y54" s="73" t="s">
        <v>157</v>
      </c>
      <c r="Z54" s="73"/>
      <c r="AA54" s="74">
        <v>163.75</v>
      </c>
      <c r="AB54" s="5" t="s">
        <v>158</v>
      </c>
      <c r="AC54" s="57"/>
      <c r="AD54" s="2" t="s">
        <v>146</v>
      </c>
      <c r="AE54" s="73" t="s">
        <v>157</v>
      </c>
      <c r="AF54" s="73"/>
      <c r="AG54" s="74">
        <v>167.75</v>
      </c>
      <c r="AH54" s="5" t="s">
        <v>158</v>
      </c>
      <c r="AJ54" s="2" t="s">
        <v>146</v>
      </c>
      <c r="AK54" s="73" t="s">
        <v>157</v>
      </c>
      <c r="AL54" s="73"/>
      <c r="AM54" s="74"/>
      <c r="AN54" s="5" t="s">
        <v>158</v>
      </c>
      <c r="AP54" s="2" t="s">
        <v>146</v>
      </c>
      <c r="AQ54" s="73" t="s">
        <v>157</v>
      </c>
      <c r="AR54" s="73"/>
      <c r="AS54" s="74"/>
      <c r="AT54" s="5" t="s">
        <v>158</v>
      </c>
      <c r="AV54" s="2" t="s">
        <v>146</v>
      </c>
      <c r="AW54" s="73" t="s">
        <v>157</v>
      </c>
      <c r="AX54" s="73"/>
      <c r="AY54" s="74"/>
      <c r="AZ54" s="5" t="s">
        <v>158</v>
      </c>
      <c r="BA54" s="57"/>
      <c r="BB54" s="2" t="s">
        <v>146</v>
      </c>
      <c r="BC54" s="79" t="s">
        <v>157</v>
      </c>
      <c r="BD54" s="80"/>
      <c r="BE54" s="74"/>
      <c r="BF54" s="5" t="s">
        <v>158</v>
      </c>
    </row>
    <row r="55" ht="13.800000000000001" customHeight="1">
      <c r="A55" s="2" t="s">
        <v>147</v>
      </c>
      <c r="B55" s="73" t="s">
        <v>157</v>
      </c>
      <c r="C55" s="73"/>
      <c r="D55" s="74">
        <v>99.5</v>
      </c>
      <c r="E55" s="5" t="s">
        <v>158</v>
      </c>
      <c r="G55" s="2" t="s">
        <v>147</v>
      </c>
      <c r="H55" s="73" t="s">
        <v>157</v>
      </c>
      <c r="I55" s="73"/>
      <c r="J55" s="73"/>
      <c r="K55" s="73"/>
      <c r="L55" s="74">
        <v>127.75</v>
      </c>
      <c r="M55" s="74"/>
      <c r="N55" s="5" t="s">
        <v>158</v>
      </c>
      <c r="P55" s="2" t="s">
        <v>147</v>
      </c>
      <c r="Q55" s="73" t="s">
        <v>157</v>
      </c>
      <c r="R55" s="73"/>
      <c r="S55" s="74">
        <v>175</v>
      </c>
      <c r="T55" s="5" t="s">
        <v>158</v>
      </c>
      <c r="X55" s="2" t="s">
        <v>147</v>
      </c>
      <c r="Y55" s="73" t="s">
        <v>157</v>
      </c>
      <c r="Z55" s="73"/>
      <c r="AA55" s="74">
        <v>161</v>
      </c>
      <c r="AB55" s="5" t="s">
        <v>158</v>
      </c>
      <c r="AC55" s="57"/>
      <c r="AD55" s="2" t="s">
        <v>147</v>
      </c>
      <c r="AE55" s="73" t="s">
        <v>157</v>
      </c>
      <c r="AF55" s="73"/>
      <c r="AG55" s="74">
        <v>176</v>
      </c>
      <c r="AH55" s="5" t="s">
        <v>158</v>
      </c>
      <c r="AJ55" s="2" t="s">
        <v>147</v>
      </c>
      <c r="AK55" s="73" t="s">
        <v>157</v>
      </c>
      <c r="AL55" s="73"/>
      <c r="AM55" s="74"/>
      <c r="AN55" s="5" t="s">
        <v>158</v>
      </c>
      <c r="AP55" s="2" t="s">
        <v>147</v>
      </c>
      <c r="AQ55" s="73" t="s">
        <v>157</v>
      </c>
      <c r="AR55" s="73"/>
      <c r="AS55" s="74"/>
      <c r="AT55" s="5" t="s">
        <v>158</v>
      </c>
      <c r="AV55" s="2" t="s">
        <v>147</v>
      </c>
      <c r="AW55" s="73" t="s">
        <v>157</v>
      </c>
      <c r="AX55" s="73"/>
      <c r="AY55" s="74"/>
      <c r="AZ55" s="5" t="s">
        <v>158</v>
      </c>
      <c r="BA55" s="57"/>
      <c r="BB55" s="2" t="s">
        <v>147</v>
      </c>
      <c r="BC55" s="79" t="s">
        <v>157</v>
      </c>
      <c r="BD55" s="80"/>
      <c r="BE55" s="74"/>
      <c r="BF55" s="5" t="s">
        <v>158</v>
      </c>
    </row>
    <row r="56" ht="13.800000000000001" customHeight="1">
      <c r="A56" s="2" t="s">
        <v>148</v>
      </c>
      <c r="B56" s="73" t="s">
        <v>157</v>
      </c>
      <c r="C56" s="73"/>
      <c r="D56" s="74">
        <v>159</v>
      </c>
      <c r="E56" s="5" t="s">
        <v>158</v>
      </c>
      <c r="G56" s="2" t="s">
        <v>148</v>
      </c>
      <c r="H56" s="73" t="s">
        <v>157</v>
      </c>
      <c r="I56" s="73"/>
      <c r="J56" s="73"/>
      <c r="K56" s="73"/>
      <c r="L56" s="74">
        <v>112.5</v>
      </c>
      <c r="M56" s="74"/>
      <c r="N56" s="5" t="s">
        <v>158</v>
      </c>
      <c r="P56" s="2" t="s">
        <v>148</v>
      </c>
      <c r="Q56" s="73" t="s">
        <v>157</v>
      </c>
      <c r="R56" s="73"/>
      <c r="S56" s="74">
        <v>80.25</v>
      </c>
      <c r="T56" s="5" t="s">
        <v>158</v>
      </c>
      <c r="X56" s="2" t="s">
        <v>148</v>
      </c>
      <c r="Y56" s="73" t="s">
        <v>157</v>
      </c>
      <c r="Z56" s="73"/>
      <c r="AA56" s="74">
        <v>168</v>
      </c>
      <c r="AB56" s="5" t="s">
        <v>158</v>
      </c>
      <c r="AC56" s="57"/>
      <c r="AD56" s="2" t="s">
        <v>148</v>
      </c>
      <c r="AE56" s="73" t="s">
        <v>157</v>
      </c>
      <c r="AF56" s="73"/>
      <c r="AG56" s="74">
        <v>119.5</v>
      </c>
      <c r="AH56" s="5" t="s">
        <v>158</v>
      </c>
      <c r="AJ56" s="2" t="s">
        <v>148</v>
      </c>
      <c r="AK56" s="73" t="s">
        <v>157</v>
      </c>
      <c r="AL56" s="73"/>
      <c r="AM56" s="74"/>
      <c r="AN56" s="5" t="s">
        <v>158</v>
      </c>
      <c r="AP56" s="2" t="s">
        <v>148</v>
      </c>
      <c r="AQ56" s="73" t="s">
        <v>157</v>
      </c>
      <c r="AR56" s="73"/>
      <c r="AS56" s="74"/>
      <c r="AT56" s="5" t="s">
        <v>158</v>
      </c>
      <c r="AV56" s="2" t="s">
        <v>148</v>
      </c>
      <c r="AW56" s="73" t="s">
        <v>157</v>
      </c>
      <c r="AX56" s="73"/>
      <c r="AY56" s="74"/>
      <c r="AZ56" s="5" t="s">
        <v>158</v>
      </c>
      <c r="BA56" s="57"/>
      <c r="BB56" s="2" t="s">
        <v>148</v>
      </c>
      <c r="BC56" s="79" t="s">
        <v>157</v>
      </c>
      <c r="BD56" s="80"/>
      <c r="BE56" s="74"/>
      <c r="BF56" s="5" t="s">
        <v>158</v>
      </c>
    </row>
    <row r="57" ht="13.800000000000001" customHeight="1">
      <c r="A57" s="2" t="s">
        <v>149</v>
      </c>
      <c r="B57" s="73" t="s">
        <v>157</v>
      </c>
      <c r="C57" s="73"/>
      <c r="D57" s="74">
        <v>120</v>
      </c>
      <c r="E57" s="5" t="s">
        <v>158</v>
      </c>
      <c r="G57" s="2" t="s">
        <v>149</v>
      </c>
      <c r="H57" s="73" t="s">
        <v>157</v>
      </c>
      <c r="I57" s="73"/>
      <c r="J57" s="73"/>
      <c r="K57" s="73"/>
      <c r="L57" s="74">
        <v>174</v>
      </c>
      <c r="M57" s="74"/>
      <c r="N57" s="5" t="s">
        <v>158</v>
      </c>
      <c r="P57" s="2" t="s">
        <v>149</v>
      </c>
      <c r="Q57" s="73" t="s">
        <v>157</v>
      </c>
      <c r="R57" s="73"/>
      <c r="S57" s="74">
        <v>55.5</v>
      </c>
      <c r="T57" s="5" t="s">
        <v>158</v>
      </c>
      <c r="X57" s="2" t="s">
        <v>149</v>
      </c>
      <c r="Y57" s="73" t="s">
        <v>157</v>
      </c>
      <c r="Z57" s="73"/>
      <c r="AA57" s="74">
        <v>168</v>
      </c>
      <c r="AB57" s="5" t="s">
        <v>158</v>
      </c>
      <c r="AC57" s="57"/>
      <c r="AD57" s="2" t="s">
        <v>149</v>
      </c>
      <c r="AE57" s="73" t="s">
        <v>157</v>
      </c>
      <c r="AF57" s="73"/>
      <c r="AG57" s="74">
        <v>171.83000000000001</v>
      </c>
      <c r="AH57" s="5" t="s">
        <v>158</v>
      </c>
      <c r="AJ57" s="2" t="s">
        <v>149</v>
      </c>
      <c r="AK57" s="73" t="s">
        <v>157</v>
      </c>
      <c r="AL57" s="73"/>
      <c r="AM57" s="74"/>
      <c r="AN57" s="5" t="s">
        <v>158</v>
      </c>
      <c r="AP57" s="2" t="s">
        <v>149</v>
      </c>
      <c r="AQ57" s="73" t="s">
        <v>157</v>
      </c>
      <c r="AR57" s="73"/>
      <c r="AS57" s="74"/>
      <c r="AT57" s="5" t="s">
        <v>158</v>
      </c>
      <c r="AV57" s="2" t="s">
        <v>149</v>
      </c>
      <c r="AW57" s="73" t="s">
        <v>157</v>
      </c>
      <c r="AX57" s="73"/>
      <c r="AY57" s="74"/>
      <c r="AZ57" s="5" t="s">
        <v>158</v>
      </c>
      <c r="BA57" s="57"/>
      <c r="BB57" s="2" t="s">
        <v>149</v>
      </c>
      <c r="BC57" s="79" t="s">
        <v>157</v>
      </c>
      <c r="BD57" s="80"/>
      <c r="BE57" s="74"/>
      <c r="BF57" s="5" t="s">
        <v>158</v>
      </c>
    </row>
    <row r="58" ht="13.800000000000001" customHeight="1">
      <c r="A58" s="2" t="s">
        <v>152</v>
      </c>
      <c r="B58" s="73" t="s">
        <v>157</v>
      </c>
      <c r="C58" s="73"/>
      <c r="D58" s="74">
        <v>159</v>
      </c>
      <c r="E58" s="75" t="s">
        <v>158</v>
      </c>
      <c r="G58" s="2" t="s">
        <v>152</v>
      </c>
      <c r="H58" s="73" t="s">
        <v>157</v>
      </c>
      <c r="I58" s="73"/>
      <c r="J58" s="73"/>
      <c r="K58" s="73"/>
      <c r="L58" s="74">
        <v>176</v>
      </c>
      <c r="M58" s="74"/>
      <c r="N58" s="75" t="s">
        <v>158</v>
      </c>
      <c r="P58" s="2" t="s">
        <v>152</v>
      </c>
      <c r="Q58" s="73" t="s">
        <v>157</v>
      </c>
      <c r="R58" s="73"/>
      <c r="S58" s="74">
        <v>175</v>
      </c>
      <c r="T58" s="75" t="s">
        <v>158</v>
      </c>
      <c r="X58" s="2" t="s">
        <v>152</v>
      </c>
      <c r="Y58" s="73" t="s">
        <v>157</v>
      </c>
      <c r="Z58" s="73"/>
      <c r="AA58" s="74">
        <v>88</v>
      </c>
      <c r="AB58" s="75" t="s">
        <v>158</v>
      </c>
      <c r="AC58" s="57"/>
      <c r="AD58" s="2" t="s">
        <v>152</v>
      </c>
      <c r="AE58" s="73" t="s">
        <v>157</v>
      </c>
      <c r="AF58" s="73"/>
      <c r="AG58" s="74">
        <v>167.75</v>
      </c>
      <c r="AH58" s="75" t="s">
        <v>158</v>
      </c>
      <c r="AJ58" s="2" t="s">
        <v>152</v>
      </c>
      <c r="AK58" s="73" t="s">
        <v>157</v>
      </c>
      <c r="AL58" s="73"/>
      <c r="AM58" s="74"/>
      <c r="AN58" s="75" t="s">
        <v>158</v>
      </c>
      <c r="AP58" s="2" t="s">
        <v>152</v>
      </c>
      <c r="AQ58" s="73" t="s">
        <v>157</v>
      </c>
      <c r="AR58" s="73"/>
      <c r="AS58" s="74"/>
      <c r="AT58" s="75" t="s">
        <v>158</v>
      </c>
      <c r="AV58" s="2" t="s">
        <v>152</v>
      </c>
      <c r="AW58" s="73" t="s">
        <v>157</v>
      </c>
      <c r="AX58" s="73"/>
      <c r="AY58" s="74"/>
      <c r="AZ58" s="75" t="s">
        <v>158</v>
      </c>
      <c r="BA58" s="57"/>
      <c r="BB58" s="2" t="s">
        <v>152</v>
      </c>
      <c r="BC58" s="79" t="s">
        <v>157</v>
      </c>
      <c r="BD58" s="80"/>
      <c r="BE58" s="74"/>
      <c r="BF58" s="75" t="s">
        <v>158</v>
      </c>
    </row>
    <row r="59" ht="14.25">
      <c r="G59" s="1"/>
      <c r="AD59" s="2" t="s">
        <v>150</v>
      </c>
      <c r="AE59" s="79" t="s">
        <v>157</v>
      </c>
      <c r="AF59" s="80"/>
      <c r="AG59" s="74">
        <v>176</v>
      </c>
      <c r="AH59" s="5" t="s">
        <v>158</v>
      </c>
      <c r="AJ59" s="2" t="s">
        <v>150</v>
      </c>
      <c r="AK59" s="79" t="s">
        <v>157</v>
      </c>
      <c r="AL59" s="80"/>
      <c r="AM59" s="74"/>
      <c r="AN59" s="5" t="s">
        <v>158</v>
      </c>
      <c r="AP59" s="2" t="s">
        <v>150</v>
      </c>
      <c r="AQ59" s="79" t="s">
        <v>157</v>
      </c>
      <c r="AR59" s="80"/>
      <c r="AS59" s="74"/>
      <c r="AT59" s="5" t="s">
        <v>158</v>
      </c>
      <c r="AV59" s="2" t="s">
        <v>150</v>
      </c>
      <c r="AW59" s="79" t="s">
        <v>157</v>
      </c>
      <c r="AX59" s="80"/>
      <c r="AY59" s="74"/>
      <c r="AZ59" s="5" t="s">
        <v>158</v>
      </c>
      <c r="BB59" s="2" t="s">
        <v>150</v>
      </c>
      <c r="BC59" s="79" t="s">
        <v>157</v>
      </c>
      <c r="BD59" s="80"/>
      <c r="BE59" s="74"/>
      <c r="BF59" s="5" t="s">
        <v>158</v>
      </c>
    </row>
    <row r="60" ht="14.25">
      <c r="G60" s="1"/>
      <c r="AD60" s="2" t="s">
        <v>151</v>
      </c>
      <c r="AE60" s="79" t="s">
        <v>157</v>
      </c>
      <c r="AF60" s="80"/>
      <c r="AG60" s="74">
        <v>56.5</v>
      </c>
      <c r="AH60" s="75" t="s">
        <v>158</v>
      </c>
      <c r="AJ60" s="2" t="s">
        <v>151</v>
      </c>
      <c r="AK60" s="79" t="s">
        <v>157</v>
      </c>
      <c r="AL60" s="80"/>
      <c r="AM60" s="74"/>
      <c r="AN60" s="75" t="s">
        <v>158</v>
      </c>
      <c r="AP60" s="2" t="s">
        <v>151</v>
      </c>
      <c r="AQ60" s="79" t="s">
        <v>157</v>
      </c>
      <c r="AR60" s="80"/>
      <c r="AS60" s="74"/>
      <c r="AT60" s="75" t="s">
        <v>158</v>
      </c>
      <c r="AV60" s="2" t="s">
        <v>151</v>
      </c>
      <c r="AW60" s="79" t="s">
        <v>157</v>
      </c>
      <c r="AX60" s="80"/>
      <c r="AY60" s="74"/>
      <c r="AZ60" s="75" t="s">
        <v>158</v>
      </c>
      <c r="BB60" s="2" t="s">
        <v>151</v>
      </c>
      <c r="BC60" s="79" t="s">
        <v>157</v>
      </c>
      <c r="BD60" s="80"/>
      <c r="BE60" s="74"/>
      <c r="BF60" s="75" t="s">
        <v>158</v>
      </c>
    </row>
  </sheetData>
  <sheetProtection autoFilter="1" deleteColumns="1" deleteRows="1" formatCells="1" formatColumns="1" formatRows="1" insertColumns="1" insertHyperlinks="1" insertRows="1" pivotTables="1" selectLockedCells="0" selectUnlockedCells="0" sheet="0" sort="1"/>
  <protectedRanges>
    <protectedRange name="Июльчик" sqref="S51:S58" algorithmName="SHA-512" hashValue="a8PdqZq6BUdPNGx68LxW2/U11rhJcgWKu3CV5usc8ew2qhwpXZtGYHHabdWgN+WBwxCi6xPX+6eP2RMN+SeLBA==" saltValue="9zcSlK2zkLDZV+Rd/UsXqQ==" spinCount="100000"/>
    <protectedRange name="Июньчик" sqref="L51:L58" algorithmName="SHA-512" hashValue="4e8Guzn8v1vslLXsN1PYYwK0uMk/2BvRV7WbOECBCwQudOFNJesLKYyrY5Wa2u0pSHikZfyvBo3ZpqNIS32xAA==" saltValue="q7kPxndJB4zbDko/PHUSuw==" spinCount="100000"/>
    <protectedRange name="Выбор отчета" sqref="AA3"/>
  </protectedRanges>
  <mergeCells count="102">
    <mergeCell ref="A1:N1"/>
    <mergeCell ref="O1:P1"/>
    <mergeCell ref="A2:A3"/>
    <mergeCell ref="B2:B3"/>
    <mergeCell ref="C2:L2"/>
    <mergeCell ref="N2:N3"/>
    <mergeCell ref="O2:X2"/>
    <mergeCell ref="Y2:Y3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1:C41"/>
    <mergeCell ref="D41:E41"/>
    <mergeCell ref="B51:C51"/>
    <mergeCell ref="H51:I51"/>
    <mergeCell ref="Q51:R51"/>
    <mergeCell ref="Y51:Z51"/>
    <mergeCell ref="AE51:AF51"/>
    <mergeCell ref="AK51:AL51"/>
    <mergeCell ref="AQ51:AR51"/>
    <mergeCell ref="AW51:AX51"/>
    <mergeCell ref="BC51:BD51"/>
    <mergeCell ref="B52:C52"/>
    <mergeCell ref="H52:I52"/>
    <mergeCell ref="Q52:R52"/>
    <mergeCell ref="Y52:Z52"/>
    <mergeCell ref="AE52:AF52"/>
    <mergeCell ref="AK52:AL52"/>
    <mergeCell ref="AQ52:AR52"/>
    <mergeCell ref="AW52:AX52"/>
    <mergeCell ref="BC52:BD52"/>
    <mergeCell ref="B53:C53"/>
    <mergeCell ref="H53:I53"/>
    <mergeCell ref="Q53:R53"/>
    <mergeCell ref="Y53:Z53"/>
    <mergeCell ref="AE53:AF53"/>
    <mergeCell ref="AK53:AL53"/>
    <mergeCell ref="AQ53:AR53"/>
    <mergeCell ref="AW53:AX53"/>
    <mergeCell ref="BC53:BD53"/>
    <mergeCell ref="B54:C54"/>
    <mergeCell ref="H54:I54"/>
    <mergeCell ref="Q54:R54"/>
    <mergeCell ref="Y54:Z54"/>
    <mergeCell ref="AE54:AF54"/>
    <mergeCell ref="AK54:AL54"/>
    <mergeCell ref="AQ54:AR54"/>
    <mergeCell ref="AW54:AX54"/>
    <mergeCell ref="BC54:BD54"/>
    <mergeCell ref="B55:C55"/>
    <mergeCell ref="H55:I55"/>
    <mergeCell ref="Q55:R55"/>
    <mergeCell ref="Y55:Z55"/>
    <mergeCell ref="AE55:AF55"/>
    <mergeCell ref="AK55:AL55"/>
    <mergeCell ref="AQ55:AR55"/>
    <mergeCell ref="AW55:AX55"/>
    <mergeCell ref="BC55:BD55"/>
    <mergeCell ref="B56:C56"/>
    <mergeCell ref="H56:I56"/>
    <mergeCell ref="Q56:R56"/>
    <mergeCell ref="Y56:Z56"/>
    <mergeCell ref="AE56:AF56"/>
    <mergeCell ref="AK56:AL56"/>
    <mergeCell ref="AQ56:AR56"/>
    <mergeCell ref="AW56:AX56"/>
    <mergeCell ref="BC56:BD56"/>
    <mergeCell ref="B57:C57"/>
    <mergeCell ref="H57:I57"/>
    <mergeCell ref="Q57:R57"/>
    <mergeCell ref="Y57:Z57"/>
    <mergeCell ref="AE57:AF57"/>
    <mergeCell ref="AK57:AL57"/>
    <mergeCell ref="AQ57:AR57"/>
    <mergeCell ref="AW57:AX57"/>
    <mergeCell ref="BC57:BD57"/>
    <mergeCell ref="B58:C58"/>
    <mergeCell ref="H58:I58"/>
    <mergeCell ref="Q58:R58"/>
    <mergeCell ref="Y58:Z58"/>
    <mergeCell ref="AE58:AF58"/>
    <mergeCell ref="AK58:AL58"/>
    <mergeCell ref="AQ58:AR58"/>
    <mergeCell ref="AW58:AX58"/>
    <mergeCell ref="BC58:BD58"/>
    <mergeCell ref="AE59:AF59"/>
    <mergeCell ref="AK59:AL59"/>
    <mergeCell ref="AQ59:AR59"/>
    <mergeCell ref="AW59:AX59"/>
    <mergeCell ref="BC59:BD59"/>
    <mergeCell ref="AE60:AF60"/>
    <mergeCell ref="AK60:AL60"/>
    <mergeCell ref="AQ60:AR60"/>
    <mergeCell ref="AW60:AX60"/>
    <mergeCell ref="BC60:BD60"/>
  </mergeCells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&amp;C&amp;12Страница &amp;P</oddFooter>
  </headerFooter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B1A32517-B33E-4FD3-9ADE-CEE843B8C3FA}" type="list" allowBlank="1" errorStyle="stop" imeMode="noControl" operator="equal" showDropDown="0" showErrorMessage="1" showInputMessage="0">
          <x14:formula1>
            <xm:f>"W2:W13"</xm:f>
          </x14:formula1>
          <x14:formula2>
            <xm:f>0</xm:f>
          </x14:formula2>
          <xm:sqref>AE2:AE13</xm:sqref>
        </x14:dataValidation>
        <x14:dataValidation xr:uid="{15C02F09-F137-40BA-A407-C7A942FD029D}" type="list" allowBlank="0" error="СТОП МНЕ НЕПРИЯТНО" errorStyle="stop" errorTitle="НЕ ДЕЛАЙ ТАК" imeMode="noControl" operator="equal" showDropDown="0" showErrorMessage="1" showInputMessage="0">
          <x14:formula1>
            <xm:f>"Май,Июнь,Июль,Август,Сентябрь,Октябрь,Ноябрь,Декабрь,Всё"</xm:f>
          </x14:formula1>
          <x14:formula2>
            <xm:f>"0"</xm:f>
          </x14:formula2>
          <xm:sqref>AA3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lastModifiedBy>Аноним</cp:lastModifiedBy>
  <cp:revision>432</cp:revision>
  <dcterms:created xsi:type="dcterms:W3CDTF">2026-05-11T10:52:40Z</dcterms:created>
  <dcterms:modified xsi:type="dcterms:W3CDTF">2026-10-05T13:57:55Z</dcterms:modified>
</cp:coreProperties>
</file>